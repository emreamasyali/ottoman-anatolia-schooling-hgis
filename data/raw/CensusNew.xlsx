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/Dropbox/PHD_Mcgill/THESIS/HGIS Missionary/"/>
    </mc:Choice>
  </mc:AlternateContent>
  <xr:revisionPtr revIDLastSave="0" documentId="8_{90401F9B-C50D-D140-B7EA-141A9A6CB536}" xr6:coauthVersionLast="47" xr6:coauthVersionMax="47" xr10:uidLastSave="{00000000-0000-0000-0000-000000000000}"/>
  <bookViews>
    <workbookView xWindow="-38400" yWindow="500" windowWidth="38400" windowHeight="19880" xr2:uid="{7BD33F34-FBEE-534A-A086-D986596647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0" i="1" l="1"/>
  <c r="AI340" i="1" s="1"/>
  <c r="AE340" i="1"/>
  <c r="AD340" i="1"/>
  <c r="AJ340" i="1" s="1"/>
  <c r="AC340" i="1"/>
  <c r="AG340" i="1" s="1"/>
  <c r="D340" i="1"/>
  <c r="B340" i="1" s="1"/>
  <c r="AH339" i="1"/>
  <c r="AG339" i="1"/>
  <c r="AF339" i="1"/>
  <c r="AI339" i="1" s="1"/>
  <c r="AE339" i="1"/>
  <c r="AD339" i="1"/>
  <c r="AJ339" i="1" s="1"/>
  <c r="AC339" i="1"/>
  <c r="D339" i="1"/>
  <c r="B339" i="1" s="1"/>
  <c r="AH338" i="1"/>
  <c r="AF338" i="1"/>
  <c r="AI338" i="1" s="1"/>
  <c r="AE338" i="1"/>
  <c r="AD338" i="1"/>
  <c r="AC338" i="1"/>
  <c r="D338" i="1"/>
  <c r="B338" i="1" s="1"/>
  <c r="AF337" i="1"/>
  <c r="AE337" i="1"/>
  <c r="AD337" i="1"/>
  <c r="AC337" i="1"/>
  <c r="D337" i="1"/>
  <c r="B337" i="1" s="1"/>
  <c r="AI336" i="1"/>
  <c r="AF336" i="1"/>
  <c r="AE336" i="1"/>
  <c r="AD336" i="1"/>
  <c r="AG336" i="1" s="1"/>
  <c r="AC336" i="1"/>
  <c r="D336" i="1"/>
  <c r="B336" i="1"/>
  <c r="AJ335" i="1"/>
  <c r="AF335" i="1"/>
  <c r="AI335" i="1" s="1"/>
  <c r="AE335" i="1"/>
  <c r="AD335" i="1"/>
  <c r="AC335" i="1"/>
  <c r="D335" i="1"/>
  <c r="B335" i="1"/>
  <c r="AF334" i="1"/>
  <c r="AH334" i="1" s="1"/>
  <c r="AE334" i="1"/>
  <c r="AD334" i="1"/>
  <c r="AC334" i="1"/>
  <c r="D334" i="1"/>
  <c r="B334" i="1" s="1"/>
  <c r="AF333" i="1"/>
  <c r="AI333" i="1" s="1"/>
  <c r="AE333" i="1"/>
  <c r="AD333" i="1"/>
  <c r="AJ333" i="1" s="1"/>
  <c r="AC333" i="1"/>
  <c r="AH333" i="1" s="1"/>
  <c r="D333" i="1"/>
  <c r="B333" i="1" s="1"/>
  <c r="AM332" i="1"/>
  <c r="AF332" i="1"/>
  <c r="AE332" i="1"/>
  <c r="AD332" i="1"/>
  <c r="AC332" i="1"/>
  <c r="D332" i="1"/>
  <c r="B332" i="1"/>
  <c r="AM331" i="1"/>
  <c r="AH331" i="1"/>
  <c r="AF331" i="1"/>
  <c r="AI331" i="1" s="1"/>
  <c r="AE331" i="1"/>
  <c r="AD331" i="1"/>
  <c r="AC331" i="1"/>
  <c r="D331" i="1"/>
  <c r="B331" i="1" s="1"/>
  <c r="AM330" i="1"/>
  <c r="AJ330" i="1"/>
  <c r="AH330" i="1"/>
  <c r="AF330" i="1"/>
  <c r="AE330" i="1"/>
  <c r="AD330" i="1"/>
  <c r="AG330" i="1" s="1"/>
  <c r="AC330" i="1"/>
  <c r="D330" i="1"/>
  <c r="B330" i="1" s="1"/>
  <c r="AM329" i="1"/>
  <c r="AF329" i="1"/>
  <c r="AE329" i="1"/>
  <c r="AD329" i="1"/>
  <c r="AC329" i="1"/>
  <c r="AG329" i="1" s="1"/>
  <c r="D329" i="1"/>
  <c r="B329" i="1" s="1"/>
  <c r="AM328" i="1"/>
  <c r="AI328" i="1" s="1"/>
  <c r="AF328" i="1"/>
  <c r="AE328" i="1"/>
  <c r="AD328" i="1"/>
  <c r="AC328" i="1"/>
  <c r="AH328" i="1" s="1"/>
  <c r="D328" i="1"/>
  <c r="B328" i="1" s="1"/>
  <c r="AM327" i="1"/>
  <c r="AF327" i="1"/>
  <c r="AE327" i="1"/>
  <c r="AD327" i="1"/>
  <c r="AG327" i="1" s="1"/>
  <c r="AC327" i="1"/>
  <c r="D327" i="1"/>
  <c r="B327" i="1" s="1"/>
  <c r="AF326" i="1"/>
  <c r="AI326" i="1" s="1"/>
  <c r="AE326" i="1"/>
  <c r="AD326" i="1"/>
  <c r="AJ326" i="1" s="1"/>
  <c r="AC326" i="1"/>
  <c r="D326" i="1"/>
  <c r="B326" i="1" s="1"/>
  <c r="AF325" i="1"/>
  <c r="AI325" i="1" s="1"/>
  <c r="AE325" i="1"/>
  <c r="AD325" i="1"/>
  <c r="AJ325" i="1" s="1"/>
  <c r="AC325" i="1"/>
  <c r="AH325" i="1" s="1"/>
  <c r="D325" i="1"/>
  <c r="B325" i="1" s="1"/>
  <c r="AI324" i="1"/>
  <c r="AH324" i="1"/>
  <c r="AG324" i="1"/>
  <c r="AF324" i="1"/>
  <c r="AE324" i="1"/>
  <c r="AD324" i="1"/>
  <c r="AJ324" i="1" s="1"/>
  <c r="AC324" i="1"/>
  <c r="D324" i="1"/>
  <c r="B324" i="1" s="1"/>
  <c r="AF323" i="1"/>
  <c r="AE323" i="1"/>
  <c r="AD323" i="1"/>
  <c r="AC323" i="1"/>
  <c r="D323" i="1"/>
  <c r="B323" i="1" s="1"/>
  <c r="AF322" i="1"/>
  <c r="AE322" i="1"/>
  <c r="AD322" i="1"/>
  <c r="AC322" i="1"/>
  <c r="D322" i="1"/>
  <c r="B322" i="1" s="1"/>
  <c r="AJ321" i="1"/>
  <c r="AH321" i="1"/>
  <c r="AF321" i="1"/>
  <c r="AI321" i="1" s="1"/>
  <c r="AE321" i="1"/>
  <c r="AD321" i="1"/>
  <c r="AC321" i="1"/>
  <c r="AG321" i="1" s="1"/>
  <c r="D321" i="1"/>
  <c r="B321" i="1" s="1"/>
  <c r="AI320" i="1"/>
  <c r="AF320" i="1"/>
  <c r="AE320" i="1"/>
  <c r="AD320" i="1"/>
  <c r="AC320" i="1"/>
  <c r="D320" i="1"/>
  <c r="B320" i="1" s="1"/>
  <c r="AF319" i="1"/>
  <c r="AI319" i="1" s="1"/>
  <c r="AE319" i="1"/>
  <c r="AD319" i="1"/>
  <c r="AJ319" i="1" s="1"/>
  <c r="AC319" i="1"/>
  <c r="AH319" i="1" s="1"/>
  <c r="D319" i="1"/>
  <c r="B319" i="1" s="1"/>
  <c r="AF318" i="1"/>
  <c r="AE318" i="1"/>
  <c r="AD318" i="1"/>
  <c r="AC318" i="1"/>
  <c r="D318" i="1"/>
  <c r="B318" i="1"/>
  <c r="AG317" i="1"/>
  <c r="AF317" i="1"/>
  <c r="AE317" i="1"/>
  <c r="AD317" i="1"/>
  <c r="AJ317" i="1" s="1"/>
  <c r="AC317" i="1"/>
  <c r="D317" i="1"/>
  <c r="B317" i="1" s="1"/>
  <c r="AF316" i="1"/>
  <c r="AE316" i="1"/>
  <c r="AD316" i="1"/>
  <c r="AJ316" i="1" s="1"/>
  <c r="AC316" i="1"/>
  <c r="AG316" i="1" s="1"/>
  <c r="D316" i="1"/>
  <c r="B316" i="1" s="1"/>
  <c r="AF315" i="1"/>
  <c r="AE315" i="1"/>
  <c r="AD315" i="1"/>
  <c r="AC315" i="1"/>
  <c r="D315" i="1"/>
  <c r="B315" i="1" s="1"/>
  <c r="AH314" i="1"/>
  <c r="AG314" i="1"/>
  <c r="AF314" i="1"/>
  <c r="AI314" i="1" s="1"/>
  <c r="AE314" i="1"/>
  <c r="AD314" i="1"/>
  <c r="AJ314" i="1" s="1"/>
  <c r="AC314" i="1"/>
  <c r="D314" i="1"/>
  <c r="B314" i="1" s="1"/>
  <c r="AF313" i="1"/>
  <c r="AE313" i="1"/>
  <c r="AD313" i="1"/>
  <c r="AC313" i="1"/>
  <c r="D313" i="1"/>
  <c r="B313" i="1"/>
  <c r="AJ312" i="1"/>
  <c r="AG312" i="1"/>
  <c r="AF312" i="1"/>
  <c r="AE312" i="1"/>
  <c r="AD312" i="1"/>
  <c r="AC312" i="1"/>
  <c r="D312" i="1"/>
  <c r="B312" i="1" s="1"/>
  <c r="AJ311" i="1"/>
  <c r="AF311" i="1"/>
  <c r="AE311" i="1"/>
  <c r="AD311" i="1"/>
  <c r="AC311" i="1"/>
  <c r="D311" i="1"/>
  <c r="B311" i="1" s="1"/>
  <c r="AF310" i="1"/>
  <c r="AI310" i="1" s="1"/>
  <c r="AE310" i="1"/>
  <c r="AD310" i="1"/>
  <c r="AC310" i="1"/>
  <c r="D310" i="1"/>
  <c r="B310" i="1" s="1"/>
  <c r="AI309" i="1"/>
  <c r="AF309" i="1"/>
  <c r="AE309" i="1"/>
  <c r="AD309" i="1"/>
  <c r="AJ309" i="1" s="1"/>
  <c r="AC309" i="1"/>
  <c r="AH309" i="1" s="1"/>
  <c r="D309" i="1"/>
  <c r="B309" i="1" s="1"/>
  <c r="AF308" i="1"/>
  <c r="AE308" i="1"/>
  <c r="AD308" i="1"/>
  <c r="AG308" i="1" s="1"/>
  <c r="AC308" i="1"/>
  <c r="D308" i="1"/>
  <c r="B308" i="1" s="1"/>
  <c r="AF307" i="1"/>
  <c r="AE307" i="1"/>
  <c r="AD307" i="1"/>
  <c r="AC307" i="1"/>
  <c r="D307" i="1"/>
  <c r="B307" i="1" s="1"/>
  <c r="AG306" i="1"/>
  <c r="AF306" i="1"/>
  <c r="AE306" i="1"/>
  <c r="AD306" i="1"/>
  <c r="AJ306" i="1" s="1"/>
  <c r="AC306" i="1"/>
  <c r="D306" i="1"/>
  <c r="B306" i="1" s="1"/>
  <c r="AI305" i="1"/>
  <c r="AH305" i="1"/>
  <c r="AF305" i="1"/>
  <c r="AE305" i="1"/>
  <c r="AD305" i="1"/>
  <c r="AC305" i="1"/>
  <c r="D305" i="1"/>
  <c r="B305" i="1" s="1"/>
  <c r="AF304" i="1"/>
  <c r="AI304" i="1" s="1"/>
  <c r="AE304" i="1"/>
  <c r="AD304" i="1"/>
  <c r="AJ304" i="1" s="1"/>
  <c r="AC304" i="1"/>
  <c r="D304" i="1"/>
  <c r="B304" i="1" s="1"/>
  <c r="AJ303" i="1"/>
  <c r="AI303" i="1"/>
  <c r="AF303" i="1"/>
  <c r="AE303" i="1"/>
  <c r="AD303" i="1"/>
  <c r="AC303" i="1"/>
  <c r="D303" i="1"/>
  <c r="B303" i="1" s="1"/>
  <c r="AJ302" i="1"/>
  <c r="AI302" i="1"/>
  <c r="AG302" i="1"/>
  <c r="AF302" i="1"/>
  <c r="AH302" i="1" s="1"/>
  <c r="AE302" i="1"/>
  <c r="AD302" i="1"/>
  <c r="AC302" i="1"/>
  <c r="D302" i="1"/>
  <c r="B302" i="1" s="1"/>
  <c r="AJ301" i="1"/>
  <c r="AG301" i="1"/>
  <c r="AF301" i="1"/>
  <c r="AI301" i="1" s="1"/>
  <c r="AE301" i="1"/>
  <c r="AD301" i="1"/>
  <c r="AC301" i="1"/>
  <c r="D301" i="1"/>
  <c r="B301" i="1" s="1"/>
  <c r="AF300" i="1"/>
  <c r="AE300" i="1"/>
  <c r="AD300" i="1"/>
  <c r="AC300" i="1"/>
  <c r="D300" i="1"/>
  <c r="B300" i="1" s="1"/>
  <c r="AI299" i="1"/>
  <c r="AF299" i="1"/>
  <c r="AE299" i="1"/>
  <c r="AD299" i="1"/>
  <c r="AC299" i="1"/>
  <c r="AH299" i="1" s="1"/>
  <c r="D299" i="1"/>
  <c r="B299" i="1" s="1"/>
  <c r="AF298" i="1"/>
  <c r="AE298" i="1"/>
  <c r="AD298" i="1"/>
  <c r="AG298" i="1" s="1"/>
  <c r="AC298" i="1"/>
  <c r="D298" i="1"/>
  <c r="B298" i="1" s="1"/>
  <c r="AF297" i="1"/>
  <c r="AE297" i="1"/>
  <c r="AD297" i="1"/>
  <c r="AC297" i="1"/>
  <c r="D297" i="1"/>
  <c r="B297" i="1" s="1"/>
  <c r="AH296" i="1"/>
  <c r="AG296" i="1"/>
  <c r="AF296" i="1"/>
  <c r="AI296" i="1" s="1"/>
  <c r="AE296" i="1"/>
  <c r="AD296" i="1"/>
  <c r="AJ296" i="1" s="1"/>
  <c r="AC296" i="1"/>
  <c r="D296" i="1"/>
  <c r="B296" i="1" s="1"/>
  <c r="AF295" i="1"/>
  <c r="AE295" i="1"/>
  <c r="AD295" i="1"/>
  <c r="AJ295" i="1" s="1"/>
  <c r="AC295" i="1"/>
  <c r="D295" i="1"/>
  <c r="B295" i="1" s="1"/>
  <c r="AI294" i="1"/>
  <c r="AF294" i="1"/>
  <c r="AE294" i="1"/>
  <c r="AD294" i="1"/>
  <c r="AC294" i="1"/>
  <c r="AH294" i="1" s="1"/>
  <c r="D294" i="1"/>
  <c r="B294" i="1" s="1"/>
  <c r="AJ293" i="1"/>
  <c r="AI293" i="1"/>
  <c r="AF293" i="1"/>
  <c r="AH293" i="1" s="1"/>
  <c r="AE293" i="1"/>
  <c r="AD293" i="1"/>
  <c r="AG293" i="1" s="1"/>
  <c r="AC293" i="1"/>
  <c r="D293" i="1"/>
  <c r="B293" i="1"/>
  <c r="AJ292" i="1"/>
  <c r="AG292" i="1"/>
  <c r="AF292" i="1"/>
  <c r="AH292" i="1" s="1"/>
  <c r="AE292" i="1"/>
  <c r="AD292" i="1"/>
  <c r="AC292" i="1"/>
  <c r="D292" i="1"/>
  <c r="B292" i="1" s="1"/>
  <c r="AF291" i="1"/>
  <c r="AE291" i="1"/>
  <c r="AD291" i="1"/>
  <c r="AJ291" i="1" s="1"/>
  <c r="AC291" i="1"/>
  <c r="D291" i="1"/>
  <c r="B291" i="1" s="1"/>
  <c r="AI290" i="1"/>
  <c r="AF290" i="1"/>
  <c r="AE290" i="1"/>
  <c r="AD290" i="1"/>
  <c r="AC290" i="1"/>
  <c r="AH290" i="1" s="1"/>
  <c r="D290" i="1"/>
  <c r="B290" i="1" s="1"/>
  <c r="AJ289" i="1"/>
  <c r="AI289" i="1"/>
  <c r="AF289" i="1"/>
  <c r="AE289" i="1"/>
  <c r="AD289" i="1"/>
  <c r="AC289" i="1"/>
  <c r="D289" i="1"/>
  <c r="B289" i="1" s="1"/>
  <c r="AF288" i="1"/>
  <c r="AE288" i="1"/>
  <c r="AD288" i="1"/>
  <c r="AC288" i="1"/>
  <c r="D288" i="1"/>
  <c r="B288" i="1" s="1"/>
  <c r="AF287" i="1"/>
  <c r="AE287" i="1"/>
  <c r="AD287" i="1"/>
  <c r="AC287" i="1"/>
  <c r="D287" i="1"/>
  <c r="B287" i="1" s="1"/>
  <c r="AF286" i="1"/>
  <c r="AE286" i="1"/>
  <c r="AD286" i="1"/>
  <c r="AJ286" i="1" s="1"/>
  <c r="AC286" i="1"/>
  <c r="D286" i="1"/>
  <c r="B286" i="1" s="1"/>
  <c r="AF285" i="1"/>
  <c r="AE285" i="1"/>
  <c r="AD285" i="1"/>
  <c r="AJ285" i="1" s="1"/>
  <c r="AC285" i="1"/>
  <c r="D285" i="1"/>
  <c r="B285" i="1" s="1"/>
  <c r="AJ284" i="1"/>
  <c r="AI284" i="1"/>
  <c r="AF284" i="1"/>
  <c r="AE284" i="1"/>
  <c r="AD284" i="1"/>
  <c r="AG284" i="1" s="1"/>
  <c r="AC284" i="1"/>
  <c r="AH284" i="1" s="1"/>
  <c r="D284" i="1"/>
  <c r="B284" i="1" s="1"/>
  <c r="AJ283" i="1"/>
  <c r="AI283" i="1"/>
  <c r="AF283" i="1"/>
  <c r="AH283" i="1" s="1"/>
  <c r="AE283" i="1"/>
  <c r="AD283" i="1"/>
  <c r="AG283" i="1" s="1"/>
  <c r="AC283" i="1"/>
  <c r="D283" i="1"/>
  <c r="B283" i="1"/>
  <c r="AJ282" i="1"/>
  <c r="AG282" i="1"/>
  <c r="AF282" i="1"/>
  <c r="AH282" i="1" s="1"/>
  <c r="AE282" i="1"/>
  <c r="AD282" i="1"/>
  <c r="AC282" i="1"/>
  <c r="D282" i="1"/>
  <c r="B282" i="1" s="1"/>
  <c r="AF281" i="1"/>
  <c r="AE281" i="1"/>
  <c r="AD281" i="1"/>
  <c r="AC281" i="1"/>
  <c r="D281" i="1"/>
  <c r="B281" i="1" s="1"/>
  <c r="AI280" i="1"/>
  <c r="AF280" i="1"/>
  <c r="AE280" i="1"/>
  <c r="AD280" i="1"/>
  <c r="AC280" i="1"/>
  <c r="AH280" i="1" s="1"/>
  <c r="D280" i="1"/>
  <c r="B280" i="1"/>
  <c r="AI279" i="1"/>
  <c r="AF279" i="1"/>
  <c r="AE279" i="1"/>
  <c r="AD279" i="1"/>
  <c r="AC279" i="1"/>
  <c r="D279" i="1"/>
  <c r="B279" i="1" s="1"/>
  <c r="AF278" i="1"/>
  <c r="AE278" i="1"/>
  <c r="AD278" i="1"/>
  <c r="AC278" i="1"/>
  <c r="B278" i="1"/>
  <c r="AJ277" i="1"/>
  <c r="AF277" i="1"/>
  <c r="AE277" i="1"/>
  <c r="AD277" i="1"/>
  <c r="AC277" i="1"/>
  <c r="B277" i="1"/>
  <c r="AJ276" i="1"/>
  <c r="AF276" i="1"/>
  <c r="AE276" i="1"/>
  <c r="AD276" i="1"/>
  <c r="AG276" i="1" s="1"/>
  <c r="AC276" i="1"/>
  <c r="B276" i="1"/>
  <c r="AF275" i="1"/>
  <c r="AE275" i="1"/>
  <c r="AD275" i="1"/>
  <c r="AC275" i="1"/>
  <c r="AJ274" i="1"/>
  <c r="AF274" i="1"/>
  <c r="AI274" i="1" s="1"/>
  <c r="AE274" i="1"/>
  <c r="AD274" i="1"/>
  <c r="AC274" i="1"/>
  <c r="B274" i="1"/>
  <c r="AF273" i="1"/>
  <c r="AI273" i="1" s="1"/>
  <c r="AE273" i="1"/>
  <c r="AD273" i="1"/>
  <c r="AC273" i="1"/>
  <c r="AH273" i="1" s="1"/>
  <c r="B273" i="1"/>
  <c r="AI272" i="1"/>
  <c r="AF272" i="1"/>
  <c r="AE272" i="1"/>
  <c r="AD272" i="1"/>
  <c r="AC272" i="1"/>
  <c r="AH272" i="1" s="1"/>
  <c r="B272" i="1"/>
  <c r="AJ271" i="1"/>
  <c r="AF271" i="1"/>
  <c r="AI271" i="1" s="1"/>
  <c r="AE271" i="1"/>
  <c r="AD271" i="1"/>
  <c r="AG271" i="1" s="1"/>
  <c r="AC271" i="1"/>
  <c r="B271" i="1"/>
  <c r="AF270" i="1"/>
  <c r="AI270" i="1" s="1"/>
  <c r="AE270" i="1"/>
  <c r="AD270" i="1"/>
  <c r="AJ270" i="1" s="1"/>
  <c r="AC270" i="1"/>
  <c r="AH270" i="1" s="1"/>
  <c r="B270" i="1"/>
  <c r="AI269" i="1"/>
  <c r="AF269" i="1"/>
  <c r="AE269" i="1"/>
  <c r="AD269" i="1"/>
  <c r="AC269" i="1"/>
  <c r="AH269" i="1" s="1"/>
  <c r="B269" i="1"/>
  <c r="AI268" i="1"/>
  <c r="AF268" i="1"/>
  <c r="AE268" i="1"/>
  <c r="AD268" i="1"/>
  <c r="AJ268" i="1" s="1"/>
  <c r="AC268" i="1"/>
  <c r="B268" i="1"/>
  <c r="AI267" i="1"/>
  <c r="AF267" i="1"/>
  <c r="AE267" i="1"/>
  <c r="AD267" i="1"/>
  <c r="AC267" i="1"/>
  <c r="AH267" i="1" s="1"/>
  <c r="B267" i="1"/>
  <c r="AI266" i="1"/>
  <c r="AF266" i="1"/>
  <c r="AE266" i="1"/>
  <c r="AD266" i="1"/>
  <c r="AC266" i="1"/>
  <c r="B266" i="1"/>
  <c r="AF265" i="1"/>
  <c r="AI265" i="1" s="1"/>
  <c r="AE265" i="1"/>
  <c r="AD265" i="1"/>
  <c r="AC265" i="1"/>
  <c r="D265" i="1"/>
  <c r="B265" i="1" s="1"/>
  <c r="AF264" i="1"/>
  <c r="AE264" i="1"/>
  <c r="AD264" i="1"/>
  <c r="AJ264" i="1" s="1"/>
  <c r="AC264" i="1"/>
  <c r="D264" i="1"/>
  <c r="B264" i="1" s="1"/>
  <c r="AG263" i="1"/>
  <c r="AF263" i="1"/>
  <c r="AE263" i="1"/>
  <c r="AD263" i="1"/>
  <c r="AJ263" i="1" s="1"/>
  <c r="AC263" i="1"/>
  <c r="D263" i="1"/>
  <c r="B263" i="1"/>
  <c r="AF262" i="1"/>
  <c r="AE262" i="1"/>
  <c r="AD262" i="1"/>
  <c r="AC262" i="1"/>
  <c r="D262" i="1"/>
  <c r="B262" i="1" s="1"/>
  <c r="AF261" i="1"/>
  <c r="AI261" i="1" s="1"/>
  <c r="AE261" i="1"/>
  <c r="AD261" i="1"/>
  <c r="AC261" i="1"/>
  <c r="D261" i="1"/>
  <c r="B261" i="1" s="1"/>
  <c r="AH260" i="1"/>
  <c r="AF260" i="1"/>
  <c r="AI260" i="1" s="1"/>
  <c r="AE260" i="1"/>
  <c r="AD260" i="1"/>
  <c r="AC260" i="1"/>
  <c r="D260" i="1"/>
  <c r="B260" i="1" s="1"/>
  <c r="AI259" i="1"/>
  <c r="AH259" i="1"/>
  <c r="AF259" i="1"/>
  <c r="AE259" i="1"/>
  <c r="AD259" i="1"/>
  <c r="AG259" i="1" s="1"/>
  <c r="AC259" i="1"/>
  <c r="D259" i="1"/>
  <c r="B259" i="1"/>
  <c r="AF258" i="1"/>
  <c r="AE258" i="1"/>
  <c r="AD258" i="1"/>
  <c r="AC258" i="1"/>
  <c r="D258" i="1"/>
  <c r="B258" i="1" s="1"/>
  <c r="AF257" i="1"/>
  <c r="AI257" i="1" s="1"/>
  <c r="AE257" i="1"/>
  <c r="AD257" i="1"/>
  <c r="AC257" i="1"/>
  <c r="AH257" i="1" s="1"/>
  <c r="D257" i="1"/>
  <c r="B257" i="1"/>
  <c r="AI256" i="1"/>
  <c r="AF256" i="1"/>
  <c r="AE256" i="1"/>
  <c r="AD256" i="1"/>
  <c r="AC256" i="1"/>
  <c r="D256" i="1"/>
  <c r="B256" i="1"/>
  <c r="AJ255" i="1"/>
  <c r="AF255" i="1"/>
  <c r="AI255" i="1" s="1"/>
  <c r="AE255" i="1"/>
  <c r="AD255" i="1"/>
  <c r="AG255" i="1" s="1"/>
  <c r="AC255" i="1"/>
  <c r="D255" i="1"/>
  <c r="B255" i="1" s="1"/>
  <c r="AF254" i="1"/>
  <c r="AE254" i="1"/>
  <c r="AD254" i="1"/>
  <c r="AC254" i="1"/>
  <c r="D254" i="1"/>
  <c r="B254" i="1"/>
  <c r="AG253" i="1"/>
  <c r="AF253" i="1"/>
  <c r="AE253" i="1"/>
  <c r="AD253" i="1"/>
  <c r="AJ253" i="1" s="1"/>
  <c r="AC253" i="1"/>
  <c r="D253" i="1"/>
  <c r="B253" i="1" s="1"/>
  <c r="AF252" i="1"/>
  <c r="AI252" i="1" s="1"/>
  <c r="AE252" i="1"/>
  <c r="AD252" i="1"/>
  <c r="AJ252" i="1" s="1"/>
  <c r="AC252" i="1"/>
  <c r="AG252" i="1" s="1"/>
  <c r="D252" i="1"/>
  <c r="B252" i="1" s="1"/>
  <c r="AI251" i="1"/>
  <c r="AF251" i="1"/>
  <c r="AE251" i="1"/>
  <c r="AD251" i="1"/>
  <c r="AJ251" i="1" s="1"/>
  <c r="AC251" i="1"/>
  <c r="AH251" i="1" s="1"/>
  <c r="D251" i="1"/>
  <c r="B251" i="1" s="1"/>
  <c r="AF250" i="1"/>
  <c r="AH250" i="1" s="1"/>
  <c r="AE250" i="1"/>
  <c r="AD250" i="1"/>
  <c r="AG250" i="1" s="1"/>
  <c r="AC250" i="1"/>
  <c r="D250" i="1"/>
  <c r="B250" i="1" s="1"/>
  <c r="AF249" i="1"/>
  <c r="AI249" i="1" s="1"/>
  <c r="AE249" i="1"/>
  <c r="AD249" i="1"/>
  <c r="AC249" i="1"/>
  <c r="D249" i="1"/>
  <c r="B249" i="1" s="1"/>
  <c r="AF248" i="1"/>
  <c r="AE248" i="1"/>
  <c r="AD248" i="1"/>
  <c r="AJ248" i="1" s="1"/>
  <c r="AC248" i="1"/>
  <c r="D248" i="1"/>
  <c r="B248" i="1" s="1"/>
  <c r="AF247" i="1"/>
  <c r="AI247" i="1" s="1"/>
  <c r="AE247" i="1"/>
  <c r="AD247" i="1"/>
  <c r="AJ247" i="1" s="1"/>
  <c r="AC247" i="1"/>
  <c r="D247" i="1"/>
  <c r="B247" i="1"/>
  <c r="AI246" i="1"/>
  <c r="AH246" i="1"/>
  <c r="AF246" i="1"/>
  <c r="AE246" i="1"/>
  <c r="AD246" i="1"/>
  <c r="AJ246" i="1" s="1"/>
  <c r="AC246" i="1"/>
  <c r="AG246" i="1" s="1"/>
  <c r="D246" i="1"/>
  <c r="B246" i="1"/>
  <c r="AH245" i="1"/>
  <c r="AF245" i="1"/>
  <c r="AI245" i="1" s="1"/>
  <c r="AE245" i="1"/>
  <c r="AD245" i="1"/>
  <c r="AC245" i="1"/>
  <c r="D245" i="1"/>
  <c r="B245" i="1" s="1"/>
  <c r="AF244" i="1"/>
  <c r="AE244" i="1"/>
  <c r="AD244" i="1"/>
  <c r="AC244" i="1"/>
  <c r="D244" i="1"/>
  <c r="B244" i="1" s="1"/>
  <c r="AF243" i="1"/>
  <c r="AE243" i="1"/>
  <c r="AD243" i="1"/>
  <c r="AC243" i="1"/>
  <c r="D243" i="1"/>
  <c r="B243" i="1"/>
  <c r="AF242" i="1"/>
  <c r="AE242" i="1"/>
  <c r="AD242" i="1"/>
  <c r="AJ242" i="1" s="1"/>
  <c r="AC242" i="1"/>
  <c r="D242" i="1"/>
  <c r="B242" i="1" s="1"/>
  <c r="AF241" i="1"/>
  <c r="AE241" i="1"/>
  <c r="AD241" i="1"/>
  <c r="AC241" i="1"/>
  <c r="D241" i="1"/>
  <c r="B241" i="1" s="1"/>
  <c r="AI240" i="1"/>
  <c r="AF240" i="1"/>
  <c r="AE240" i="1"/>
  <c r="AD240" i="1"/>
  <c r="AC240" i="1"/>
  <c r="D240" i="1"/>
  <c r="B240" i="1" s="1"/>
  <c r="AJ239" i="1"/>
  <c r="AH239" i="1"/>
  <c r="AF239" i="1"/>
  <c r="AI239" i="1" s="1"/>
  <c r="AE239" i="1"/>
  <c r="AD239" i="1"/>
  <c r="AG239" i="1" s="1"/>
  <c r="AC239" i="1"/>
  <c r="D239" i="1"/>
  <c r="B239" i="1"/>
  <c r="AF238" i="1"/>
  <c r="AH238" i="1" s="1"/>
  <c r="AE238" i="1"/>
  <c r="AD238" i="1"/>
  <c r="AJ238" i="1" s="1"/>
  <c r="AC238" i="1"/>
  <c r="D238" i="1"/>
  <c r="B238" i="1" s="1"/>
  <c r="AJ237" i="1"/>
  <c r="AF237" i="1"/>
  <c r="AI237" i="1" s="1"/>
  <c r="AE237" i="1"/>
  <c r="AD237" i="1"/>
  <c r="AC237" i="1"/>
  <c r="D237" i="1"/>
  <c r="B237" i="1" s="1"/>
  <c r="AI236" i="1"/>
  <c r="AG236" i="1"/>
  <c r="AF236" i="1"/>
  <c r="AE236" i="1"/>
  <c r="AD236" i="1"/>
  <c r="AJ236" i="1" s="1"/>
  <c r="AC236" i="1"/>
  <c r="D236" i="1"/>
  <c r="B236" i="1" s="1"/>
  <c r="AF235" i="1"/>
  <c r="AI235" i="1" s="1"/>
  <c r="AE235" i="1"/>
  <c r="AD235" i="1"/>
  <c r="AG235" i="1" s="1"/>
  <c r="AC235" i="1"/>
  <c r="D235" i="1"/>
  <c r="B235" i="1" s="1"/>
  <c r="AF234" i="1"/>
  <c r="AE234" i="1"/>
  <c r="AD234" i="1"/>
  <c r="AC234" i="1"/>
  <c r="D234" i="1"/>
  <c r="B234" i="1"/>
  <c r="AJ233" i="1"/>
  <c r="AG233" i="1"/>
  <c r="AF233" i="1"/>
  <c r="AE233" i="1"/>
  <c r="AD233" i="1"/>
  <c r="AC233" i="1"/>
  <c r="D233" i="1"/>
  <c r="B233" i="1"/>
  <c r="AG232" i="1"/>
  <c r="AF232" i="1"/>
  <c r="AI232" i="1" s="1"/>
  <c r="AE232" i="1"/>
  <c r="AD232" i="1"/>
  <c r="AJ232" i="1" s="1"/>
  <c r="AC232" i="1"/>
  <c r="D232" i="1"/>
  <c r="B232" i="1" s="1"/>
  <c r="AI231" i="1"/>
  <c r="AF231" i="1"/>
  <c r="AE231" i="1"/>
  <c r="AD231" i="1"/>
  <c r="AC231" i="1"/>
  <c r="D231" i="1"/>
  <c r="B231" i="1" s="1"/>
  <c r="AI230" i="1"/>
  <c r="AH230" i="1"/>
  <c r="AF230" i="1"/>
  <c r="AE230" i="1"/>
  <c r="AD230" i="1"/>
  <c r="AC230" i="1"/>
  <c r="D230" i="1"/>
  <c r="B230" i="1" s="1"/>
  <c r="AF229" i="1"/>
  <c r="AI229" i="1" s="1"/>
  <c r="AE229" i="1"/>
  <c r="AD229" i="1"/>
  <c r="AG229" i="1" s="1"/>
  <c r="AC229" i="1"/>
  <c r="D229" i="1"/>
  <c r="B229" i="1" s="1"/>
  <c r="AF228" i="1"/>
  <c r="AE228" i="1"/>
  <c r="AD228" i="1"/>
  <c r="AC228" i="1"/>
  <c r="D228" i="1"/>
  <c r="B228" i="1" s="1"/>
  <c r="AJ227" i="1"/>
  <c r="AF227" i="1"/>
  <c r="AI227" i="1" s="1"/>
  <c r="AE227" i="1"/>
  <c r="AD227" i="1"/>
  <c r="AC227" i="1"/>
  <c r="D227" i="1"/>
  <c r="B227" i="1" s="1"/>
  <c r="AI226" i="1"/>
  <c r="AG226" i="1"/>
  <c r="AF226" i="1"/>
  <c r="AE226" i="1"/>
  <c r="AD226" i="1"/>
  <c r="AJ226" i="1" s="1"/>
  <c r="AC226" i="1"/>
  <c r="D226" i="1"/>
  <c r="B226" i="1"/>
  <c r="AI225" i="1"/>
  <c r="AF225" i="1"/>
  <c r="AE225" i="1"/>
  <c r="AD225" i="1"/>
  <c r="AC225" i="1"/>
  <c r="AH225" i="1" s="1"/>
  <c r="D225" i="1"/>
  <c r="B225" i="1" s="1"/>
  <c r="AF224" i="1"/>
  <c r="AE224" i="1"/>
  <c r="AD224" i="1"/>
  <c r="AC224" i="1"/>
  <c r="D224" i="1"/>
  <c r="B224" i="1" s="1"/>
  <c r="AJ223" i="1"/>
  <c r="AG223" i="1"/>
  <c r="AF223" i="1"/>
  <c r="AE223" i="1"/>
  <c r="AD223" i="1"/>
  <c r="AC223" i="1"/>
  <c r="D223" i="1"/>
  <c r="B223" i="1"/>
  <c r="AF222" i="1"/>
  <c r="AI222" i="1" s="1"/>
  <c r="AE222" i="1"/>
  <c r="AD222" i="1"/>
  <c r="AJ222" i="1" s="1"/>
  <c r="AC222" i="1"/>
  <c r="D222" i="1"/>
  <c r="B222" i="1" s="1"/>
  <c r="AF221" i="1"/>
  <c r="AE221" i="1"/>
  <c r="AD221" i="1"/>
  <c r="AJ221" i="1" s="1"/>
  <c r="AC221" i="1"/>
  <c r="D221" i="1"/>
  <c r="B221" i="1" s="1"/>
  <c r="AI220" i="1"/>
  <c r="AF220" i="1"/>
  <c r="AE220" i="1"/>
  <c r="AD220" i="1"/>
  <c r="AJ220" i="1" s="1"/>
  <c r="AC220" i="1"/>
  <c r="AH220" i="1" s="1"/>
  <c r="D220" i="1"/>
  <c r="B220" i="1" s="1"/>
  <c r="AF219" i="1"/>
  <c r="AE219" i="1"/>
  <c r="AD219" i="1"/>
  <c r="AC219" i="1"/>
  <c r="D219" i="1"/>
  <c r="B219" i="1" s="1"/>
  <c r="AF218" i="1"/>
  <c r="AE218" i="1"/>
  <c r="AD218" i="1"/>
  <c r="AJ218" i="1" s="1"/>
  <c r="AC218" i="1"/>
  <c r="D218" i="1"/>
  <c r="B218" i="1" s="1"/>
  <c r="AF217" i="1"/>
  <c r="AE217" i="1"/>
  <c r="AD217" i="1"/>
  <c r="AC217" i="1"/>
  <c r="D217" i="1"/>
  <c r="B217" i="1" s="1"/>
  <c r="AI216" i="1"/>
  <c r="AF216" i="1"/>
  <c r="AE216" i="1"/>
  <c r="AD216" i="1"/>
  <c r="AJ216" i="1" s="1"/>
  <c r="AC216" i="1"/>
  <c r="AH216" i="1" s="1"/>
  <c r="D216" i="1"/>
  <c r="B216" i="1" s="1"/>
  <c r="AI215" i="1"/>
  <c r="AF215" i="1"/>
  <c r="AE215" i="1"/>
  <c r="AD215" i="1"/>
  <c r="AC215" i="1"/>
  <c r="D215" i="1"/>
  <c r="B215" i="1" s="1"/>
  <c r="AF214" i="1"/>
  <c r="AE214" i="1"/>
  <c r="AD214" i="1"/>
  <c r="AC214" i="1"/>
  <c r="D214" i="1"/>
  <c r="B214" i="1" s="1"/>
  <c r="AG213" i="1"/>
  <c r="AF213" i="1"/>
  <c r="AE213" i="1"/>
  <c r="AD213" i="1"/>
  <c r="AJ213" i="1" s="1"/>
  <c r="AC213" i="1"/>
  <c r="B213" i="1"/>
  <c r="AJ212" i="1"/>
  <c r="AF212" i="1"/>
  <c r="AE212" i="1"/>
  <c r="AD212" i="1"/>
  <c r="AG212" i="1" s="1"/>
  <c r="AC212" i="1"/>
  <c r="B212" i="1"/>
  <c r="AF211" i="1"/>
  <c r="AE211" i="1"/>
  <c r="AD211" i="1"/>
  <c r="AJ211" i="1" s="1"/>
  <c r="AC211" i="1"/>
  <c r="B211" i="1"/>
  <c r="AF210" i="1"/>
  <c r="AE210" i="1"/>
  <c r="AD210" i="1"/>
  <c r="AC210" i="1"/>
  <c r="B210" i="1"/>
  <c r="AF209" i="1"/>
  <c r="AE209" i="1"/>
  <c r="AD209" i="1"/>
  <c r="AC209" i="1"/>
  <c r="B209" i="1"/>
  <c r="AJ208" i="1"/>
  <c r="AF208" i="1"/>
  <c r="AE208" i="1"/>
  <c r="AD208" i="1"/>
  <c r="AC208" i="1"/>
  <c r="AG208" i="1" s="1"/>
  <c r="B208" i="1"/>
  <c r="AI207" i="1"/>
  <c r="AF207" i="1"/>
  <c r="AE207" i="1"/>
  <c r="AD207" i="1"/>
  <c r="AJ207" i="1" s="1"/>
  <c r="AC207" i="1"/>
  <c r="B207" i="1"/>
  <c r="AM206" i="1"/>
  <c r="AF206" i="1"/>
  <c r="AE206" i="1"/>
  <c r="AD206" i="1"/>
  <c r="AC206" i="1"/>
  <c r="D206" i="1"/>
  <c r="B206" i="1" s="1"/>
  <c r="AM205" i="1"/>
  <c r="AF205" i="1"/>
  <c r="AE205" i="1"/>
  <c r="AD205" i="1"/>
  <c r="AC205" i="1"/>
  <c r="D205" i="1"/>
  <c r="B205" i="1" s="1"/>
  <c r="AM204" i="1"/>
  <c r="AF204" i="1"/>
  <c r="AE204" i="1"/>
  <c r="AD204" i="1"/>
  <c r="AJ204" i="1" s="1"/>
  <c r="AC204" i="1"/>
  <c r="D204" i="1"/>
  <c r="B204" i="1" s="1"/>
  <c r="AM203" i="1"/>
  <c r="AF203" i="1"/>
  <c r="AE203" i="1"/>
  <c r="AD203" i="1"/>
  <c r="AC203" i="1"/>
  <c r="D203" i="1"/>
  <c r="B203" i="1"/>
  <c r="AM202" i="1"/>
  <c r="AF202" i="1"/>
  <c r="AI202" i="1" s="1"/>
  <c r="AE202" i="1"/>
  <c r="AD202" i="1"/>
  <c r="AC202" i="1"/>
  <c r="D202" i="1"/>
  <c r="B202" i="1"/>
  <c r="AM201" i="1"/>
  <c r="AF201" i="1"/>
  <c r="AI201" i="1" s="1"/>
  <c r="AE201" i="1"/>
  <c r="AD201" i="1"/>
  <c r="AC201" i="1"/>
  <c r="D201" i="1"/>
  <c r="B201" i="1" s="1"/>
  <c r="AM200" i="1"/>
  <c r="AF200" i="1"/>
  <c r="AE200" i="1"/>
  <c r="AD200" i="1"/>
  <c r="AJ200" i="1" s="1"/>
  <c r="AC200" i="1"/>
  <c r="D200" i="1"/>
  <c r="B200" i="1" s="1"/>
  <c r="AM199" i="1"/>
  <c r="AG199" i="1"/>
  <c r="AF199" i="1"/>
  <c r="AI199" i="1" s="1"/>
  <c r="AE199" i="1"/>
  <c r="AD199" i="1"/>
  <c r="AC199" i="1"/>
  <c r="D199" i="1"/>
  <c r="B199" i="1" s="1"/>
  <c r="AM198" i="1"/>
  <c r="AF198" i="1"/>
  <c r="AI198" i="1" s="1"/>
  <c r="AE198" i="1"/>
  <c r="AD198" i="1"/>
  <c r="AC198" i="1"/>
  <c r="D198" i="1"/>
  <c r="B198" i="1" s="1"/>
  <c r="AM197" i="1"/>
  <c r="AF197" i="1"/>
  <c r="AI197" i="1" s="1"/>
  <c r="AE197" i="1"/>
  <c r="AD197" i="1"/>
  <c r="AC197" i="1"/>
  <c r="D197" i="1"/>
  <c r="B197" i="1" s="1"/>
  <c r="AM196" i="1"/>
  <c r="AJ196" i="1"/>
  <c r="AF196" i="1"/>
  <c r="AE196" i="1"/>
  <c r="AD196" i="1"/>
  <c r="AC196" i="1"/>
  <c r="D196" i="1"/>
  <c r="B196" i="1" s="1"/>
  <c r="AM195" i="1"/>
  <c r="AF195" i="1"/>
  <c r="AE195" i="1"/>
  <c r="AD195" i="1"/>
  <c r="AC195" i="1"/>
  <c r="D195" i="1"/>
  <c r="B195" i="1" s="1"/>
  <c r="AM194" i="1"/>
  <c r="AG194" i="1"/>
  <c r="AF194" i="1"/>
  <c r="AE194" i="1"/>
  <c r="AD194" i="1"/>
  <c r="AJ194" i="1" s="1"/>
  <c r="AC194" i="1"/>
  <c r="D194" i="1"/>
  <c r="B194" i="1" s="1"/>
  <c r="AM193" i="1"/>
  <c r="AF193" i="1"/>
  <c r="AI193" i="1" s="1"/>
  <c r="AE193" i="1"/>
  <c r="AD193" i="1"/>
  <c r="AC193" i="1"/>
  <c r="D193" i="1"/>
  <c r="B193" i="1"/>
  <c r="AM192" i="1"/>
  <c r="AF192" i="1"/>
  <c r="AE192" i="1"/>
  <c r="AD192" i="1"/>
  <c r="AJ192" i="1" s="1"/>
  <c r="AC192" i="1"/>
  <c r="D192" i="1"/>
  <c r="B192" i="1" s="1"/>
  <c r="AM191" i="1"/>
  <c r="AJ191" i="1" s="1"/>
  <c r="AF191" i="1"/>
  <c r="AE191" i="1"/>
  <c r="AD191" i="1"/>
  <c r="AC191" i="1"/>
  <c r="D191" i="1"/>
  <c r="B191" i="1" s="1"/>
  <c r="AM190" i="1"/>
  <c r="AF190" i="1"/>
  <c r="AI190" i="1" s="1"/>
  <c r="AE190" i="1"/>
  <c r="AD190" i="1"/>
  <c r="AG190" i="1" s="1"/>
  <c r="AC190" i="1"/>
  <c r="D190" i="1"/>
  <c r="B190" i="1" s="1"/>
  <c r="AF189" i="1"/>
  <c r="P189" i="1"/>
  <c r="O189" i="1"/>
  <c r="J189" i="1"/>
  <c r="I189" i="1"/>
  <c r="H189" i="1"/>
  <c r="G189" i="1"/>
  <c r="D189" i="1"/>
  <c r="B189" i="1" s="1"/>
  <c r="AM188" i="1"/>
  <c r="AF188" i="1"/>
  <c r="AE188" i="1"/>
  <c r="AD188" i="1"/>
  <c r="AJ188" i="1" s="1"/>
  <c r="AC188" i="1"/>
  <c r="D188" i="1"/>
  <c r="B188" i="1" s="1"/>
  <c r="AM187" i="1"/>
  <c r="AF187" i="1"/>
  <c r="AI187" i="1" s="1"/>
  <c r="AE187" i="1"/>
  <c r="AD187" i="1"/>
  <c r="AC187" i="1"/>
  <c r="AH187" i="1" s="1"/>
  <c r="D187" i="1"/>
  <c r="B187" i="1" s="1"/>
  <c r="AM186" i="1"/>
  <c r="AF186" i="1"/>
  <c r="AH186" i="1" s="1"/>
  <c r="AE186" i="1"/>
  <c r="AD186" i="1"/>
  <c r="AC186" i="1"/>
  <c r="D186" i="1"/>
  <c r="B186" i="1" s="1"/>
  <c r="AM185" i="1"/>
  <c r="AF185" i="1"/>
  <c r="AI185" i="1" s="1"/>
  <c r="AE185" i="1"/>
  <c r="AD185" i="1"/>
  <c r="AJ185" i="1" s="1"/>
  <c r="AC185" i="1"/>
  <c r="D185" i="1"/>
  <c r="B185" i="1" s="1"/>
  <c r="AM184" i="1"/>
  <c r="AF184" i="1"/>
  <c r="AI184" i="1" s="1"/>
  <c r="AE184" i="1"/>
  <c r="AD184" i="1"/>
  <c r="AC184" i="1"/>
  <c r="D184" i="1"/>
  <c r="B184" i="1" s="1"/>
  <c r="AM183" i="1"/>
  <c r="AF183" i="1"/>
  <c r="AI183" i="1" s="1"/>
  <c r="AE183" i="1"/>
  <c r="AD183" i="1"/>
  <c r="AC183" i="1"/>
  <c r="D183" i="1"/>
  <c r="B183" i="1" s="1"/>
  <c r="AI182" i="1"/>
  <c r="AF182" i="1"/>
  <c r="AE182" i="1"/>
  <c r="AD182" i="1"/>
  <c r="AJ182" i="1" s="1"/>
  <c r="AC182" i="1"/>
  <c r="D182" i="1"/>
  <c r="B182" i="1" s="1"/>
  <c r="AF181" i="1"/>
  <c r="AE181" i="1"/>
  <c r="AD181" i="1"/>
  <c r="AJ181" i="1" s="1"/>
  <c r="AC181" i="1"/>
  <c r="D181" i="1"/>
  <c r="B181" i="1" s="1"/>
  <c r="AI180" i="1"/>
  <c r="AF180" i="1"/>
  <c r="AE180" i="1"/>
  <c r="AD180" i="1"/>
  <c r="AJ180" i="1" s="1"/>
  <c r="AC180" i="1"/>
  <c r="D180" i="1"/>
  <c r="B180" i="1"/>
  <c r="AJ179" i="1"/>
  <c r="AI179" i="1"/>
  <c r="AF179" i="1"/>
  <c r="AE179" i="1"/>
  <c r="AD179" i="1"/>
  <c r="AC179" i="1"/>
  <c r="D179" i="1"/>
  <c r="B179" i="1" s="1"/>
  <c r="AJ178" i="1"/>
  <c r="AF178" i="1"/>
  <c r="AI178" i="1" s="1"/>
  <c r="AE178" i="1"/>
  <c r="AD178" i="1"/>
  <c r="AC178" i="1"/>
  <c r="D178" i="1"/>
  <c r="B178" i="1" s="1"/>
  <c r="AF177" i="1"/>
  <c r="AE177" i="1"/>
  <c r="AD177" i="1"/>
  <c r="AC177" i="1"/>
  <c r="D177" i="1"/>
  <c r="B177" i="1"/>
  <c r="AF176" i="1"/>
  <c r="AI176" i="1" s="1"/>
  <c r="AE176" i="1"/>
  <c r="AD176" i="1"/>
  <c r="AJ176" i="1" s="1"/>
  <c r="AC176" i="1"/>
  <c r="AG176" i="1" s="1"/>
  <c r="D176" i="1"/>
  <c r="B176" i="1" s="1"/>
  <c r="AJ175" i="1"/>
  <c r="AH175" i="1"/>
  <c r="AF175" i="1"/>
  <c r="AI175" i="1" s="1"/>
  <c r="AE175" i="1"/>
  <c r="AD175" i="1"/>
  <c r="AC175" i="1"/>
  <c r="D175" i="1"/>
  <c r="B175" i="1" s="1"/>
  <c r="AF174" i="1"/>
  <c r="AE174" i="1"/>
  <c r="AD174" i="1"/>
  <c r="AC174" i="1"/>
  <c r="D174" i="1"/>
  <c r="B174" i="1" s="1"/>
  <c r="AF173" i="1"/>
  <c r="AI173" i="1" s="1"/>
  <c r="AE173" i="1"/>
  <c r="AD173" i="1"/>
  <c r="AC173" i="1"/>
  <c r="D173" i="1"/>
  <c r="B173" i="1" s="1"/>
  <c r="AI172" i="1"/>
  <c r="AF172" i="1"/>
  <c r="AE172" i="1"/>
  <c r="AD172" i="1"/>
  <c r="AJ172" i="1" s="1"/>
  <c r="AC172" i="1"/>
  <c r="AH172" i="1" s="1"/>
  <c r="D172" i="1"/>
  <c r="B172" i="1"/>
  <c r="AM171" i="1"/>
  <c r="AH171" i="1"/>
  <c r="AF171" i="1"/>
  <c r="AE171" i="1"/>
  <c r="AD171" i="1"/>
  <c r="AJ171" i="1" s="1"/>
  <c r="AC171" i="1"/>
  <c r="AG171" i="1" s="1"/>
  <c r="D171" i="1"/>
  <c r="B171" i="1" s="1"/>
  <c r="AF170" i="1"/>
  <c r="AE170" i="1"/>
  <c r="AD170" i="1"/>
  <c r="AC170" i="1"/>
  <c r="D170" i="1"/>
  <c r="B170" i="1" s="1"/>
  <c r="AJ169" i="1"/>
  <c r="AI169" i="1"/>
  <c r="AF169" i="1"/>
  <c r="AE169" i="1"/>
  <c r="AD169" i="1"/>
  <c r="AC169" i="1"/>
  <c r="D169" i="1"/>
  <c r="B169" i="1"/>
  <c r="AF168" i="1"/>
  <c r="AI168" i="1" s="1"/>
  <c r="AE168" i="1"/>
  <c r="AD168" i="1"/>
  <c r="AC168" i="1"/>
  <c r="D168" i="1"/>
  <c r="B168" i="1" s="1"/>
  <c r="AI167" i="1"/>
  <c r="AF167" i="1"/>
  <c r="AE167" i="1"/>
  <c r="AD167" i="1"/>
  <c r="AC167" i="1"/>
  <c r="D167" i="1"/>
  <c r="B167" i="1" s="1"/>
  <c r="AJ166" i="1"/>
  <c r="AH166" i="1"/>
  <c r="AF166" i="1"/>
  <c r="AI166" i="1" s="1"/>
  <c r="AE166" i="1"/>
  <c r="AD166" i="1"/>
  <c r="AC166" i="1"/>
  <c r="D166" i="1"/>
  <c r="B166" i="1" s="1"/>
  <c r="AF165" i="1"/>
  <c r="AE165" i="1"/>
  <c r="AD165" i="1"/>
  <c r="AJ165" i="1" s="1"/>
  <c r="AC165" i="1"/>
  <c r="D165" i="1"/>
  <c r="B165" i="1" s="1"/>
  <c r="AF164" i="1"/>
  <c r="AE164" i="1"/>
  <c r="AD164" i="1"/>
  <c r="AC164" i="1"/>
  <c r="D164" i="1"/>
  <c r="B164" i="1" s="1"/>
  <c r="AF163" i="1"/>
  <c r="AI163" i="1" s="1"/>
  <c r="AE163" i="1"/>
  <c r="AD163" i="1"/>
  <c r="AJ163" i="1" s="1"/>
  <c r="AC163" i="1"/>
  <c r="D163" i="1"/>
  <c r="B163" i="1" s="1"/>
  <c r="AM162" i="1"/>
  <c r="AF162" i="1"/>
  <c r="AE162" i="1"/>
  <c r="AD162" i="1"/>
  <c r="AC162" i="1"/>
  <c r="D162" i="1"/>
  <c r="B162" i="1" s="1"/>
  <c r="AM161" i="1"/>
  <c r="AI161" i="1"/>
  <c r="AF161" i="1"/>
  <c r="AE161" i="1"/>
  <c r="AD161" i="1"/>
  <c r="AG161" i="1" s="1"/>
  <c r="AC161" i="1"/>
  <c r="AH161" i="1" s="1"/>
  <c r="D161" i="1"/>
  <c r="B161" i="1" s="1"/>
  <c r="AM160" i="1"/>
  <c r="AI160" i="1" s="1"/>
  <c r="AG160" i="1"/>
  <c r="AF160" i="1"/>
  <c r="AE160" i="1"/>
  <c r="AD160" i="1"/>
  <c r="AC160" i="1"/>
  <c r="D160" i="1"/>
  <c r="B160" i="1" s="1"/>
  <c r="AM159" i="1"/>
  <c r="AI159" i="1" s="1"/>
  <c r="AF159" i="1"/>
  <c r="AE159" i="1"/>
  <c r="AD159" i="1"/>
  <c r="AJ159" i="1" s="1"/>
  <c r="AC159" i="1"/>
  <c r="D159" i="1"/>
  <c r="B159" i="1"/>
  <c r="AF158" i="1"/>
  <c r="AC158" i="1"/>
  <c r="AH158" i="1" s="1"/>
  <c r="P158" i="1"/>
  <c r="O158" i="1"/>
  <c r="D158" i="1"/>
  <c r="B158" i="1"/>
  <c r="AM157" i="1"/>
  <c r="AJ157" i="1" s="1"/>
  <c r="AF157" i="1"/>
  <c r="AE157" i="1"/>
  <c r="AD157" i="1"/>
  <c r="AC157" i="1"/>
  <c r="AH157" i="1" s="1"/>
  <c r="D157" i="1"/>
  <c r="B157" i="1"/>
  <c r="AM156" i="1"/>
  <c r="AF156" i="1"/>
  <c r="AH156" i="1" s="1"/>
  <c r="AE156" i="1"/>
  <c r="AD156" i="1"/>
  <c r="AC156" i="1"/>
  <c r="D156" i="1"/>
  <c r="B156" i="1"/>
  <c r="AM155" i="1"/>
  <c r="AF155" i="1"/>
  <c r="AE155" i="1"/>
  <c r="AD155" i="1"/>
  <c r="AJ155" i="1" s="1"/>
  <c r="AC155" i="1"/>
  <c r="D155" i="1"/>
  <c r="B155" i="1" s="1"/>
  <c r="AM154" i="1"/>
  <c r="AF154" i="1"/>
  <c r="AE154" i="1"/>
  <c r="AD154" i="1"/>
  <c r="AC154" i="1"/>
  <c r="AH154" i="1" s="1"/>
  <c r="D154" i="1"/>
  <c r="B154" i="1"/>
  <c r="AM153" i="1"/>
  <c r="AF153" i="1"/>
  <c r="AE153" i="1"/>
  <c r="AD153" i="1"/>
  <c r="AC153" i="1"/>
  <c r="D153" i="1"/>
  <c r="B153" i="1"/>
  <c r="AM152" i="1"/>
  <c r="AI152" i="1" s="1"/>
  <c r="AJ152" i="1"/>
  <c r="D152" i="1"/>
  <c r="B152" i="1" s="1"/>
  <c r="AM151" i="1"/>
  <c r="AF151" i="1"/>
  <c r="AH151" i="1" s="1"/>
  <c r="AE151" i="1"/>
  <c r="AD151" i="1"/>
  <c r="AG151" i="1" s="1"/>
  <c r="AC151" i="1"/>
  <c r="D151" i="1"/>
  <c r="B151" i="1" s="1"/>
  <c r="AM150" i="1"/>
  <c r="AJ150" i="1"/>
  <c r="AF150" i="1"/>
  <c r="AE150" i="1"/>
  <c r="AD150" i="1"/>
  <c r="AC150" i="1"/>
  <c r="AG150" i="1" s="1"/>
  <c r="D150" i="1"/>
  <c r="B150" i="1" s="1"/>
  <c r="AM149" i="1"/>
  <c r="AJ149" i="1"/>
  <c r="AF149" i="1"/>
  <c r="AH149" i="1" s="1"/>
  <c r="AE149" i="1"/>
  <c r="AD149" i="1"/>
  <c r="AG149" i="1" s="1"/>
  <c r="AC149" i="1"/>
  <c r="D149" i="1"/>
  <c r="B149" i="1"/>
  <c r="AM148" i="1"/>
  <c r="AJ148" i="1" s="1"/>
  <c r="AF148" i="1"/>
  <c r="AE148" i="1"/>
  <c r="AD148" i="1"/>
  <c r="AC148" i="1"/>
  <c r="AG148" i="1" s="1"/>
  <c r="D148" i="1"/>
  <c r="B148" i="1" s="1"/>
  <c r="AF147" i="1"/>
  <c r="AI147" i="1" s="1"/>
  <c r="AE147" i="1"/>
  <c r="AD147" i="1"/>
  <c r="AJ147" i="1" s="1"/>
  <c r="AC147" i="1"/>
  <c r="AG147" i="1" s="1"/>
  <c r="D147" i="1"/>
  <c r="B147" i="1" s="1"/>
  <c r="AF146" i="1"/>
  <c r="AI146" i="1" s="1"/>
  <c r="AE146" i="1"/>
  <c r="AD146" i="1"/>
  <c r="AJ146" i="1" s="1"/>
  <c r="AC146" i="1"/>
  <c r="AG146" i="1" s="1"/>
  <c r="D146" i="1"/>
  <c r="B146" i="1" s="1"/>
  <c r="AF145" i="1"/>
  <c r="AI145" i="1" s="1"/>
  <c r="AE145" i="1"/>
  <c r="AD145" i="1"/>
  <c r="AJ145" i="1" s="1"/>
  <c r="AC145" i="1"/>
  <c r="D145" i="1"/>
  <c r="B145" i="1" s="1"/>
  <c r="AJ144" i="1"/>
  <c r="AF144" i="1"/>
  <c r="AI144" i="1" s="1"/>
  <c r="AE144" i="1"/>
  <c r="AD144" i="1"/>
  <c r="AC144" i="1"/>
  <c r="AG144" i="1" s="1"/>
  <c r="D144" i="1"/>
  <c r="B144" i="1"/>
  <c r="AG143" i="1"/>
  <c r="AF143" i="1"/>
  <c r="AI143" i="1" s="1"/>
  <c r="AE143" i="1"/>
  <c r="AD143" i="1"/>
  <c r="AJ143" i="1" s="1"/>
  <c r="AC143" i="1"/>
  <c r="D143" i="1"/>
  <c r="B143" i="1" s="1"/>
  <c r="AF142" i="1"/>
  <c r="AI142" i="1" s="1"/>
  <c r="AE142" i="1"/>
  <c r="AD142" i="1"/>
  <c r="AJ142" i="1" s="1"/>
  <c r="AC142" i="1"/>
  <c r="D142" i="1"/>
  <c r="B142" i="1" s="1"/>
  <c r="AI141" i="1"/>
  <c r="AF141" i="1"/>
  <c r="AE141" i="1"/>
  <c r="AD141" i="1"/>
  <c r="AC141" i="1"/>
  <c r="AH141" i="1" s="1"/>
  <c r="D141" i="1"/>
  <c r="B141" i="1" s="1"/>
  <c r="AF140" i="1"/>
  <c r="AI140" i="1" s="1"/>
  <c r="AE140" i="1"/>
  <c r="AD140" i="1"/>
  <c r="AC140" i="1"/>
  <c r="AH140" i="1" s="1"/>
  <c r="D140" i="1"/>
  <c r="B140" i="1" s="1"/>
  <c r="AF139" i="1"/>
  <c r="AI139" i="1" s="1"/>
  <c r="AE139" i="1"/>
  <c r="AD139" i="1"/>
  <c r="AC139" i="1"/>
  <c r="AH139" i="1" s="1"/>
  <c r="D139" i="1"/>
  <c r="B139" i="1" s="1"/>
  <c r="AF138" i="1"/>
  <c r="AI138" i="1" s="1"/>
  <c r="AE138" i="1"/>
  <c r="AD138" i="1"/>
  <c r="AJ138" i="1" s="1"/>
  <c r="AC138" i="1"/>
  <c r="D138" i="1"/>
  <c r="B138" i="1" s="1"/>
  <c r="AF137" i="1"/>
  <c r="AI137" i="1" s="1"/>
  <c r="AE137" i="1"/>
  <c r="AD137" i="1"/>
  <c r="AJ137" i="1" s="1"/>
  <c r="AC137" i="1"/>
  <c r="AG137" i="1" s="1"/>
  <c r="D137" i="1"/>
  <c r="B137" i="1" s="1"/>
  <c r="AF136" i="1"/>
  <c r="AI136" i="1" s="1"/>
  <c r="AE136" i="1"/>
  <c r="AD136" i="1"/>
  <c r="AJ136" i="1" s="1"/>
  <c r="AC136" i="1"/>
  <c r="D136" i="1"/>
  <c r="B136" i="1" s="1"/>
  <c r="AF135" i="1"/>
  <c r="AI135" i="1" s="1"/>
  <c r="AE135" i="1"/>
  <c r="AD135" i="1"/>
  <c r="AJ135" i="1" s="1"/>
  <c r="AC135" i="1"/>
  <c r="AG135" i="1" s="1"/>
  <c r="D135" i="1"/>
  <c r="B135" i="1"/>
  <c r="AF134" i="1"/>
  <c r="AI134" i="1" s="1"/>
  <c r="AE134" i="1"/>
  <c r="AD134" i="1"/>
  <c r="AC134" i="1"/>
  <c r="D134" i="1"/>
  <c r="B134" i="1" s="1"/>
  <c r="AI133" i="1"/>
  <c r="AF133" i="1"/>
  <c r="AE133" i="1"/>
  <c r="AD133" i="1"/>
  <c r="AJ133" i="1" s="1"/>
  <c r="AC133" i="1"/>
  <c r="AG133" i="1" s="1"/>
  <c r="D133" i="1"/>
  <c r="B133" i="1"/>
  <c r="AF132" i="1"/>
  <c r="AE132" i="1"/>
  <c r="AD132" i="1"/>
  <c r="AC132" i="1"/>
  <c r="D132" i="1"/>
  <c r="B132" i="1" s="1"/>
  <c r="AI131" i="1"/>
  <c r="AG131" i="1"/>
  <c r="AF131" i="1"/>
  <c r="AH131" i="1" s="1"/>
  <c r="AE131" i="1"/>
  <c r="AD131" i="1"/>
  <c r="AJ131" i="1" s="1"/>
  <c r="AC131" i="1"/>
  <c r="D131" i="1"/>
  <c r="B131" i="1"/>
  <c r="AF130" i="1"/>
  <c r="AI130" i="1" s="1"/>
  <c r="AE130" i="1"/>
  <c r="AD130" i="1"/>
  <c r="AJ130" i="1" s="1"/>
  <c r="AC130" i="1"/>
  <c r="D130" i="1"/>
  <c r="B130" i="1"/>
  <c r="AG129" i="1"/>
  <c r="AF129" i="1"/>
  <c r="AE129" i="1"/>
  <c r="AD129" i="1"/>
  <c r="AJ129" i="1" s="1"/>
  <c r="AC129" i="1"/>
  <c r="D129" i="1"/>
  <c r="B129" i="1" s="1"/>
  <c r="AG128" i="1"/>
  <c r="AF128" i="1"/>
  <c r="AE128" i="1"/>
  <c r="AD128" i="1"/>
  <c r="AJ128" i="1" s="1"/>
  <c r="AC128" i="1"/>
  <c r="B128" i="1"/>
  <c r="AF127" i="1"/>
  <c r="AE127" i="1"/>
  <c r="AD127" i="1"/>
  <c r="AJ127" i="1" s="1"/>
  <c r="AC127" i="1"/>
  <c r="B127" i="1"/>
  <c r="AF126" i="1"/>
  <c r="AI126" i="1" s="1"/>
  <c r="AE126" i="1"/>
  <c r="AD126" i="1"/>
  <c r="AC126" i="1"/>
  <c r="B126" i="1"/>
  <c r="AF125" i="1"/>
  <c r="AI125" i="1" s="1"/>
  <c r="AE125" i="1"/>
  <c r="AD125" i="1"/>
  <c r="AC125" i="1"/>
  <c r="AH125" i="1" s="1"/>
  <c r="B125" i="1"/>
  <c r="AJ124" i="1"/>
  <c r="AF124" i="1"/>
  <c r="AI124" i="1" s="1"/>
  <c r="AE124" i="1"/>
  <c r="AD124" i="1"/>
  <c r="AC124" i="1"/>
  <c r="AG124" i="1" s="1"/>
  <c r="B124" i="1"/>
  <c r="AF123" i="1"/>
  <c r="AI123" i="1" s="1"/>
  <c r="AE123" i="1"/>
  <c r="AD123" i="1"/>
  <c r="AJ123" i="1" s="1"/>
  <c r="AC123" i="1"/>
  <c r="B123" i="1"/>
  <c r="AF122" i="1"/>
  <c r="AI122" i="1" s="1"/>
  <c r="AE122" i="1"/>
  <c r="AD122" i="1"/>
  <c r="AC122" i="1"/>
  <c r="AH122" i="1" s="1"/>
  <c r="B122" i="1"/>
  <c r="AF121" i="1"/>
  <c r="AI121" i="1" s="1"/>
  <c r="AE121" i="1"/>
  <c r="AD121" i="1"/>
  <c r="AC121" i="1"/>
  <c r="B121" i="1"/>
  <c r="AJ120" i="1"/>
  <c r="AF120" i="1"/>
  <c r="AE120" i="1"/>
  <c r="AD120" i="1"/>
  <c r="AC120" i="1"/>
  <c r="AG120" i="1" s="1"/>
  <c r="B120" i="1"/>
  <c r="AJ119" i="1"/>
  <c r="AH119" i="1"/>
  <c r="AF119" i="1"/>
  <c r="AI119" i="1" s="1"/>
  <c r="AE119" i="1"/>
  <c r="AD119" i="1"/>
  <c r="AG119" i="1" s="1"/>
  <c r="AC119" i="1"/>
  <c r="B119" i="1"/>
  <c r="AJ118" i="1"/>
  <c r="AG118" i="1"/>
  <c r="AF118" i="1"/>
  <c r="AE118" i="1"/>
  <c r="AD118" i="1"/>
  <c r="AC118" i="1"/>
  <c r="B118" i="1"/>
  <c r="AJ117" i="1"/>
  <c r="AF117" i="1"/>
  <c r="AE117" i="1"/>
  <c r="AD117" i="1"/>
  <c r="AC117" i="1"/>
  <c r="B117" i="1"/>
  <c r="AH116" i="1"/>
  <c r="AF116" i="1"/>
  <c r="AI116" i="1" s="1"/>
  <c r="AE116" i="1"/>
  <c r="AD116" i="1"/>
  <c r="AC116" i="1"/>
  <c r="B116" i="1"/>
  <c r="AF115" i="1"/>
  <c r="AI115" i="1" s="1"/>
  <c r="AE115" i="1"/>
  <c r="AD115" i="1"/>
  <c r="AC115" i="1"/>
  <c r="AH115" i="1" s="1"/>
  <c r="B115" i="1"/>
  <c r="AF114" i="1"/>
  <c r="AI114" i="1" s="1"/>
  <c r="AE114" i="1"/>
  <c r="AD114" i="1"/>
  <c r="AJ114" i="1" s="1"/>
  <c r="AC114" i="1"/>
  <c r="B114" i="1"/>
  <c r="AF113" i="1"/>
  <c r="AI113" i="1" s="1"/>
  <c r="AE113" i="1"/>
  <c r="AD113" i="1"/>
  <c r="AJ113" i="1" s="1"/>
  <c r="AC113" i="1"/>
  <c r="B113" i="1"/>
  <c r="AF112" i="1"/>
  <c r="AI112" i="1" s="1"/>
  <c r="AE112" i="1"/>
  <c r="AD112" i="1"/>
  <c r="AG112" i="1" s="1"/>
  <c r="AC112" i="1"/>
  <c r="B112" i="1"/>
  <c r="AF111" i="1"/>
  <c r="AI111" i="1" s="1"/>
  <c r="AE111" i="1"/>
  <c r="AD111" i="1"/>
  <c r="AG111" i="1" s="1"/>
  <c r="AC111" i="1"/>
  <c r="B111" i="1"/>
  <c r="AF110" i="1"/>
  <c r="AI110" i="1" s="1"/>
  <c r="AE110" i="1"/>
  <c r="AD110" i="1"/>
  <c r="AJ110" i="1" s="1"/>
  <c r="AC110" i="1"/>
  <c r="D110" i="1"/>
  <c r="B110" i="1" s="1"/>
  <c r="AI109" i="1"/>
  <c r="AH109" i="1"/>
  <c r="AF109" i="1"/>
  <c r="AE109" i="1"/>
  <c r="AD109" i="1"/>
  <c r="AJ109" i="1" s="1"/>
  <c r="AC109" i="1"/>
  <c r="D109" i="1"/>
  <c r="B109" i="1" s="1"/>
  <c r="AJ108" i="1"/>
  <c r="AF108" i="1"/>
  <c r="AH108" i="1" s="1"/>
  <c r="AE108" i="1"/>
  <c r="AD108" i="1"/>
  <c r="AC108" i="1"/>
  <c r="D108" i="1"/>
  <c r="B108" i="1" s="1"/>
  <c r="AF107" i="1"/>
  <c r="AI107" i="1" s="1"/>
  <c r="AE107" i="1"/>
  <c r="AD107" i="1"/>
  <c r="AJ107" i="1" s="1"/>
  <c r="AC107" i="1"/>
  <c r="AG107" i="1" s="1"/>
  <c r="D107" i="1"/>
  <c r="B107" i="1" s="1"/>
  <c r="AH106" i="1"/>
  <c r="AF106" i="1"/>
  <c r="AI106" i="1" s="1"/>
  <c r="AE106" i="1"/>
  <c r="AD106" i="1"/>
  <c r="AG106" i="1" s="1"/>
  <c r="AC106" i="1"/>
  <c r="D106" i="1"/>
  <c r="B106" i="1" s="1"/>
  <c r="AJ105" i="1"/>
  <c r="AF105" i="1"/>
  <c r="AI105" i="1" s="1"/>
  <c r="AE105" i="1"/>
  <c r="AD105" i="1"/>
  <c r="AC105" i="1"/>
  <c r="D105" i="1"/>
  <c r="B105" i="1"/>
  <c r="AJ104" i="1"/>
  <c r="AF104" i="1"/>
  <c r="AI104" i="1" s="1"/>
  <c r="AE104" i="1"/>
  <c r="AD104" i="1"/>
  <c r="AC104" i="1"/>
  <c r="B104" i="1"/>
  <c r="AF103" i="1"/>
  <c r="AI103" i="1" s="1"/>
  <c r="AE103" i="1"/>
  <c r="AD103" i="1"/>
  <c r="AC103" i="1"/>
  <c r="B103" i="1"/>
  <c r="AJ102" i="1"/>
  <c r="AF102" i="1"/>
  <c r="AI102" i="1" s="1"/>
  <c r="AE102" i="1"/>
  <c r="AD102" i="1"/>
  <c r="AC102" i="1"/>
  <c r="B102" i="1"/>
  <c r="AF101" i="1"/>
  <c r="AI101" i="1" s="1"/>
  <c r="AE101" i="1"/>
  <c r="AD101" i="1"/>
  <c r="AG101" i="1" s="1"/>
  <c r="AC101" i="1"/>
  <c r="B101" i="1"/>
  <c r="AM100" i="1"/>
  <c r="AI100" i="1" s="1"/>
  <c r="AF100" i="1"/>
  <c r="AE100" i="1"/>
  <c r="AD100" i="1"/>
  <c r="AC100" i="1"/>
  <c r="D100" i="1"/>
  <c r="B100" i="1" s="1"/>
  <c r="AM99" i="1"/>
  <c r="AI99" i="1" s="1"/>
  <c r="AF99" i="1"/>
  <c r="AE99" i="1"/>
  <c r="AD99" i="1"/>
  <c r="AC99" i="1"/>
  <c r="D99" i="1"/>
  <c r="B99" i="1" s="1"/>
  <c r="AM98" i="1"/>
  <c r="AF98" i="1"/>
  <c r="AI98" i="1" s="1"/>
  <c r="AE98" i="1"/>
  <c r="AD98" i="1"/>
  <c r="AC98" i="1"/>
  <c r="D98" i="1"/>
  <c r="B98" i="1" s="1"/>
  <c r="AM97" i="1"/>
  <c r="AF97" i="1"/>
  <c r="AE97" i="1"/>
  <c r="AD97" i="1"/>
  <c r="AC97" i="1"/>
  <c r="D97" i="1"/>
  <c r="B97" i="1" s="1"/>
  <c r="AM96" i="1"/>
  <c r="AJ96" i="1" s="1"/>
  <c r="AG96" i="1"/>
  <c r="AF96" i="1"/>
  <c r="AE96" i="1"/>
  <c r="AD96" i="1"/>
  <c r="AC96" i="1"/>
  <c r="D96" i="1"/>
  <c r="B96" i="1"/>
  <c r="AM95" i="1"/>
  <c r="AF95" i="1"/>
  <c r="AI95" i="1" s="1"/>
  <c r="AE95" i="1"/>
  <c r="AD95" i="1"/>
  <c r="AG95" i="1" s="1"/>
  <c r="AC95" i="1"/>
  <c r="AH95" i="1" s="1"/>
  <c r="D95" i="1"/>
  <c r="B95" i="1" s="1"/>
  <c r="AM94" i="1"/>
  <c r="AI94" i="1" s="1"/>
  <c r="AF94" i="1"/>
  <c r="AE94" i="1"/>
  <c r="AD94" i="1"/>
  <c r="AG94" i="1" s="1"/>
  <c r="AC94" i="1"/>
  <c r="D94" i="1"/>
  <c r="B94" i="1"/>
  <c r="AM93" i="1"/>
  <c r="AF93" i="1"/>
  <c r="AE93" i="1"/>
  <c r="AD93" i="1"/>
  <c r="AC93" i="1"/>
  <c r="D93" i="1"/>
  <c r="B93" i="1"/>
  <c r="AM92" i="1"/>
  <c r="AF92" i="1"/>
  <c r="AI92" i="1" s="1"/>
  <c r="AE92" i="1"/>
  <c r="AD92" i="1"/>
  <c r="AJ92" i="1" s="1"/>
  <c r="AC92" i="1"/>
  <c r="D92" i="1"/>
  <c r="B92" i="1"/>
  <c r="AM91" i="1"/>
  <c r="AF91" i="1"/>
  <c r="AI91" i="1" s="1"/>
  <c r="AE91" i="1"/>
  <c r="AD91" i="1"/>
  <c r="AC91" i="1"/>
  <c r="AG91" i="1" s="1"/>
  <c r="D91" i="1"/>
  <c r="B91" i="1" s="1"/>
  <c r="AM90" i="1"/>
  <c r="AI90" i="1" s="1"/>
  <c r="AF90" i="1"/>
  <c r="AE90" i="1"/>
  <c r="AD90" i="1"/>
  <c r="AG90" i="1" s="1"/>
  <c r="AC90" i="1"/>
  <c r="AH90" i="1" s="1"/>
  <c r="D90" i="1"/>
  <c r="B90" i="1"/>
  <c r="AM89" i="1"/>
  <c r="AI89" i="1" s="1"/>
  <c r="AF89" i="1"/>
  <c r="AE89" i="1"/>
  <c r="AD89" i="1"/>
  <c r="AC89" i="1"/>
  <c r="AG89" i="1" s="1"/>
  <c r="D89" i="1"/>
  <c r="B89" i="1" s="1"/>
  <c r="AM88" i="1"/>
  <c r="AI88" i="1"/>
  <c r="AH88" i="1"/>
  <c r="AF88" i="1"/>
  <c r="AE88" i="1"/>
  <c r="AD88" i="1"/>
  <c r="AC88" i="1"/>
  <c r="D88" i="1"/>
  <c r="B88" i="1" s="1"/>
  <c r="AM87" i="1"/>
  <c r="AF87" i="1"/>
  <c r="AI87" i="1" s="1"/>
  <c r="AE87" i="1"/>
  <c r="AD87" i="1"/>
  <c r="AG87" i="1" s="1"/>
  <c r="AC87" i="1"/>
  <c r="D87" i="1"/>
  <c r="B87" i="1" s="1"/>
  <c r="AM86" i="1"/>
  <c r="AJ86" i="1" s="1"/>
  <c r="AF86" i="1"/>
  <c r="AE86" i="1"/>
  <c r="AD86" i="1"/>
  <c r="AC86" i="1"/>
  <c r="AG86" i="1" s="1"/>
  <c r="D86" i="1"/>
  <c r="B86" i="1" s="1"/>
  <c r="AM85" i="1"/>
  <c r="AF85" i="1"/>
  <c r="AE85" i="1"/>
  <c r="AD85" i="1"/>
  <c r="AC85" i="1"/>
  <c r="AH85" i="1" s="1"/>
  <c r="D85" i="1"/>
  <c r="B85" i="1" s="1"/>
  <c r="AM84" i="1"/>
  <c r="AF84" i="1"/>
  <c r="AI84" i="1" s="1"/>
  <c r="AE84" i="1"/>
  <c r="AD84" i="1"/>
  <c r="AC84" i="1"/>
  <c r="D84" i="1"/>
  <c r="B84" i="1"/>
  <c r="AF83" i="1"/>
  <c r="AI83" i="1" s="1"/>
  <c r="AE83" i="1"/>
  <c r="AD83" i="1"/>
  <c r="AC83" i="1"/>
  <c r="AH83" i="1" s="1"/>
  <c r="D83" i="1"/>
  <c r="B83" i="1" s="1"/>
  <c r="AF82" i="1"/>
  <c r="AE82" i="1"/>
  <c r="AD82" i="1"/>
  <c r="AC82" i="1"/>
  <c r="D82" i="1"/>
  <c r="B82" i="1" s="1"/>
  <c r="AF81" i="1"/>
  <c r="AH81" i="1" s="1"/>
  <c r="AE81" i="1"/>
  <c r="AD81" i="1"/>
  <c r="AC81" i="1"/>
  <c r="D81" i="1"/>
  <c r="B81" i="1" s="1"/>
  <c r="AF80" i="1"/>
  <c r="AI80" i="1" s="1"/>
  <c r="AE80" i="1"/>
  <c r="AD80" i="1"/>
  <c r="AC80" i="1"/>
  <c r="AH80" i="1" s="1"/>
  <c r="D80" i="1"/>
  <c r="B80" i="1"/>
  <c r="AF79" i="1"/>
  <c r="AE79" i="1"/>
  <c r="AD79" i="1"/>
  <c r="AG79" i="1" s="1"/>
  <c r="AC79" i="1"/>
  <c r="D79" i="1"/>
  <c r="B79" i="1" s="1"/>
  <c r="AG78" i="1"/>
  <c r="AF78" i="1"/>
  <c r="AE78" i="1"/>
  <c r="AD78" i="1"/>
  <c r="AJ78" i="1" s="1"/>
  <c r="AC78" i="1"/>
  <c r="D78" i="1"/>
  <c r="B78" i="1"/>
  <c r="AF77" i="1"/>
  <c r="AI77" i="1" s="1"/>
  <c r="AE77" i="1"/>
  <c r="AD77" i="1"/>
  <c r="AJ77" i="1" s="1"/>
  <c r="AC77" i="1"/>
  <c r="AH77" i="1" s="1"/>
  <c r="D77" i="1"/>
  <c r="B77" i="1"/>
  <c r="AH76" i="1"/>
  <c r="AF76" i="1"/>
  <c r="AI76" i="1" s="1"/>
  <c r="AE76" i="1"/>
  <c r="AD76" i="1"/>
  <c r="AJ76" i="1" s="1"/>
  <c r="AC76" i="1"/>
  <c r="D76" i="1"/>
  <c r="B76" i="1" s="1"/>
  <c r="AI75" i="1"/>
  <c r="AF75" i="1"/>
  <c r="AE75" i="1"/>
  <c r="AD75" i="1"/>
  <c r="AJ75" i="1" s="1"/>
  <c r="AC75" i="1"/>
  <c r="AH75" i="1" s="1"/>
  <c r="D75" i="1"/>
  <c r="B75" i="1" s="1"/>
  <c r="AJ74" i="1"/>
  <c r="AF74" i="1"/>
  <c r="AI74" i="1" s="1"/>
  <c r="AE74" i="1"/>
  <c r="AD74" i="1"/>
  <c r="AC74" i="1"/>
  <c r="AG74" i="1" s="1"/>
  <c r="D74" i="1"/>
  <c r="B74" i="1" s="1"/>
  <c r="AJ73" i="1"/>
  <c r="AF73" i="1"/>
  <c r="AI73" i="1" s="1"/>
  <c r="AE73" i="1"/>
  <c r="AD73" i="1"/>
  <c r="AC73" i="1"/>
  <c r="AG73" i="1" s="1"/>
  <c r="D73" i="1"/>
  <c r="B73" i="1" s="1"/>
  <c r="AI72" i="1"/>
  <c r="AH72" i="1"/>
  <c r="AF72" i="1"/>
  <c r="AE72" i="1"/>
  <c r="AD72" i="1"/>
  <c r="AJ72" i="1" s="1"/>
  <c r="AC72" i="1"/>
  <c r="D72" i="1"/>
  <c r="B72" i="1" s="1"/>
  <c r="AI71" i="1"/>
  <c r="AH71" i="1"/>
  <c r="AF71" i="1"/>
  <c r="AE71" i="1"/>
  <c r="AD71" i="1"/>
  <c r="AJ71" i="1" s="1"/>
  <c r="AC71" i="1"/>
  <c r="D71" i="1"/>
  <c r="B71" i="1" s="1"/>
  <c r="AI70" i="1"/>
  <c r="AF70" i="1"/>
  <c r="AE70" i="1"/>
  <c r="AD70" i="1"/>
  <c r="AJ70" i="1" s="1"/>
  <c r="AC70" i="1"/>
  <c r="AG70" i="1" s="1"/>
  <c r="D70" i="1"/>
  <c r="B70" i="1" s="1"/>
  <c r="AJ69" i="1"/>
  <c r="AI69" i="1"/>
  <c r="AF69" i="1"/>
  <c r="AE69" i="1"/>
  <c r="AD69" i="1"/>
  <c r="AC69" i="1"/>
  <c r="AH69" i="1" s="1"/>
  <c r="D69" i="1"/>
  <c r="B69" i="1" s="1"/>
  <c r="AJ68" i="1"/>
  <c r="AI68" i="1"/>
  <c r="AF68" i="1"/>
  <c r="AE68" i="1"/>
  <c r="AD68" i="1"/>
  <c r="AG68" i="1" s="1"/>
  <c r="AC68" i="1"/>
  <c r="D68" i="1"/>
  <c r="B68" i="1" s="1"/>
  <c r="AF67" i="1"/>
  <c r="AI67" i="1" s="1"/>
  <c r="AE67" i="1"/>
  <c r="AD67" i="1"/>
  <c r="AC67" i="1"/>
  <c r="D67" i="1"/>
  <c r="B67" i="1" s="1"/>
  <c r="AF66" i="1"/>
  <c r="AI66" i="1" s="1"/>
  <c r="AE66" i="1"/>
  <c r="AD66" i="1"/>
  <c r="AJ66" i="1" s="1"/>
  <c r="AC66" i="1"/>
  <c r="D66" i="1"/>
  <c r="B66" i="1" s="1"/>
  <c r="AF65" i="1"/>
  <c r="AI65" i="1" s="1"/>
  <c r="AE65" i="1"/>
  <c r="AD65" i="1"/>
  <c r="AC65" i="1"/>
  <c r="AH65" i="1" s="1"/>
  <c r="D65" i="1"/>
  <c r="B65" i="1" s="1"/>
  <c r="AF64" i="1"/>
  <c r="AE64" i="1"/>
  <c r="AD64" i="1"/>
  <c r="AC64" i="1"/>
  <c r="D64" i="1"/>
  <c r="B64" i="1" s="1"/>
  <c r="AJ63" i="1"/>
  <c r="AF63" i="1"/>
  <c r="AE63" i="1"/>
  <c r="AD63" i="1"/>
  <c r="AC63" i="1"/>
  <c r="D63" i="1"/>
  <c r="B63" i="1" s="1"/>
  <c r="AF62" i="1"/>
  <c r="AE62" i="1"/>
  <c r="AD62" i="1"/>
  <c r="AG62" i="1" s="1"/>
  <c r="AC62" i="1"/>
  <c r="D62" i="1"/>
  <c r="B62" i="1" s="1"/>
  <c r="AF61" i="1"/>
  <c r="AI61" i="1" s="1"/>
  <c r="AE61" i="1"/>
  <c r="AD61" i="1"/>
  <c r="AC61" i="1"/>
  <c r="D61" i="1"/>
  <c r="B61" i="1" s="1"/>
  <c r="AJ60" i="1"/>
  <c r="AH60" i="1"/>
  <c r="AF60" i="1"/>
  <c r="AI60" i="1" s="1"/>
  <c r="AE60" i="1"/>
  <c r="AD60" i="1"/>
  <c r="AC60" i="1"/>
  <c r="D60" i="1"/>
  <c r="B60" i="1" s="1"/>
  <c r="AI59" i="1"/>
  <c r="AF59" i="1"/>
  <c r="AE59" i="1"/>
  <c r="AD59" i="1"/>
  <c r="AG59" i="1" s="1"/>
  <c r="AC59" i="1"/>
  <c r="D59" i="1"/>
  <c r="B59" i="1" s="1"/>
  <c r="AJ58" i="1"/>
  <c r="AF58" i="1"/>
  <c r="AI58" i="1" s="1"/>
  <c r="AE58" i="1"/>
  <c r="AD58" i="1"/>
  <c r="AG58" i="1" s="1"/>
  <c r="AC58" i="1"/>
  <c r="D58" i="1"/>
  <c r="B58" i="1"/>
  <c r="AF57" i="1"/>
  <c r="AI57" i="1" s="1"/>
  <c r="AE57" i="1"/>
  <c r="AD57" i="1"/>
  <c r="AC57" i="1"/>
  <c r="D57" i="1"/>
  <c r="B57" i="1" s="1"/>
  <c r="AF56" i="1"/>
  <c r="AI56" i="1" s="1"/>
  <c r="AE56" i="1"/>
  <c r="AD56" i="1"/>
  <c r="AJ56" i="1" s="1"/>
  <c r="AC56" i="1"/>
  <c r="AG56" i="1" s="1"/>
  <c r="D56" i="1"/>
  <c r="B56" i="1" s="1"/>
  <c r="AF55" i="1"/>
  <c r="AI55" i="1" s="1"/>
  <c r="AE55" i="1"/>
  <c r="AD55" i="1"/>
  <c r="AC55" i="1"/>
  <c r="D55" i="1"/>
  <c r="B55" i="1" s="1"/>
  <c r="AI54" i="1"/>
  <c r="AF54" i="1"/>
  <c r="AE54" i="1"/>
  <c r="AD54" i="1"/>
  <c r="AC54" i="1"/>
  <c r="AH54" i="1" s="1"/>
  <c r="D54" i="1"/>
  <c r="B54" i="1"/>
  <c r="AF53" i="1"/>
  <c r="AE53" i="1"/>
  <c r="AD53" i="1"/>
  <c r="AG53" i="1" s="1"/>
  <c r="AC53" i="1"/>
  <c r="D53" i="1"/>
  <c r="B53" i="1" s="1"/>
  <c r="AG52" i="1"/>
  <c r="AF52" i="1"/>
  <c r="AE52" i="1"/>
  <c r="AD52" i="1"/>
  <c r="AJ52" i="1" s="1"/>
  <c r="AC52" i="1"/>
  <c r="D52" i="1"/>
  <c r="B52" i="1"/>
  <c r="AF51" i="1"/>
  <c r="AI51" i="1" s="1"/>
  <c r="AE51" i="1"/>
  <c r="AD51" i="1"/>
  <c r="AJ51" i="1" s="1"/>
  <c r="AC51" i="1"/>
  <c r="D51" i="1"/>
  <c r="B51" i="1"/>
  <c r="AF50" i="1"/>
  <c r="AE50" i="1"/>
  <c r="AD50" i="1"/>
  <c r="AJ50" i="1" s="1"/>
  <c r="AC50" i="1"/>
  <c r="AG50" i="1" s="1"/>
  <c r="D50" i="1"/>
  <c r="B50" i="1" s="1"/>
  <c r="AJ49" i="1"/>
  <c r="AF49" i="1"/>
  <c r="AI49" i="1" s="1"/>
  <c r="AE49" i="1"/>
  <c r="AD49" i="1"/>
  <c r="AC49" i="1"/>
  <c r="AH49" i="1" s="1"/>
  <c r="D49" i="1"/>
  <c r="B49" i="1" s="1"/>
  <c r="AJ48" i="1"/>
  <c r="AF48" i="1"/>
  <c r="AI48" i="1" s="1"/>
  <c r="AE48" i="1"/>
  <c r="AD48" i="1"/>
  <c r="AC48" i="1"/>
  <c r="D48" i="1"/>
  <c r="B48" i="1" s="1"/>
  <c r="AJ47" i="1"/>
  <c r="AF47" i="1"/>
  <c r="AI47" i="1" s="1"/>
  <c r="AE47" i="1"/>
  <c r="AD47" i="1"/>
  <c r="AC47" i="1"/>
  <c r="D47" i="1"/>
  <c r="B47" i="1" s="1"/>
  <c r="AF46" i="1"/>
  <c r="AI46" i="1" s="1"/>
  <c r="AE46" i="1"/>
  <c r="AD46" i="1"/>
  <c r="AJ46" i="1" s="1"/>
  <c r="AC46" i="1"/>
  <c r="D46" i="1"/>
  <c r="B46" i="1" s="1"/>
  <c r="AF45" i="1"/>
  <c r="AI45" i="1" s="1"/>
  <c r="AE45" i="1"/>
  <c r="AD45" i="1"/>
  <c r="AC45" i="1"/>
  <c r="AH45" i="1" s="1"/>
  <c r="D45" i="1"/>
  <c r="B45" i="1" s="1"/>
  <c r="AI44" i="1"/>
  <c r="AF44" i="1"/>
  <c r="AH44" i="1" s="1"/>
  <c r="AE44" i="1"/>
  <c r="AD44" i="1"/>
  <c r="AC44" i="1"/>
  <c r="D44" i="1"/>
  <c r="B44" i="1" s="1"/>
  <c r="AJ43" i="1"/>
  <c r="AF43" i="1"/>
  <c r="AE43" i="1"/>
  <c r="AD43" i="1"/>
  <c r="AC43" i="1"/>
  <c r="D43" i="1"/>
  <c r="B43" i="1" s="1"/>
  <c r="AJ42" i="1"/>
  <c r="AF42" i="1"/>
  <c r="AE42" i="1"/>
  <c r="AD42" i="1"/>
  <c r="AC42" i="1"/>
  <c r="D42" i="1"/>
  <c r="B42" i="1" s="1"/>
  <c r="AF41" i="1"/>
  <c r="AI41" i="1" s="1"/>
  <c r="AE41" i="1"/>
  <c r="AD41" i="1"/>
  <c r="AC41" i="1"/>
  <c r="D41" i="1"/>
  <c r="B41" i="1" s="1"/>
  <c r="AJ40" i="1"/>
  <c r="AI40" i="1"/>
  <c r="AH40" i="1"/>
  <c r="AF40" i="1"/>
  <c r="AE40" i="1"/>
  <c r="AD40" i="1"/>
  <c r="AC40" i="1"/>
  <c r="AG40" i="1" s="1"/>
  <c r="D40" i="1"/>
  <c r="B40" i="1" s="1"/>
  <c r="AF39" i="1"/>
  <c r="AI39" i="1" s="1"/>
  <c r="AE39" i="1"/>
  <c r="AD39" i="1"/>
  <c r="AJ39" i="1" s="1"/>
  <c r="AC39" i="1"/>
  <c r="D39" i="1"/>
  <c r="B39" i="1" s="1"/>
  <c r="AF38" i="1"/>
  <c r="AI38" i="1" s="1"/>
  <c r="AE38" i="1"/>
  <c r="AD38" i="1"/>
  <c r="AG38" i="1" s="1"/>
  <c r="AC38" i="1"/>
  <c r="AH38" i="1" s="1"/>
  <c r="D38" i="1"/>
  <c r="B38" i="1"/>
  <c r="AJ37" i="1"/>
  <c r="AF37" i="1"/>
  <c r="AI37" i="1" s="1"/>
  <c r="AE37" i="1"/>
  <c r="AD37" i="1"/>
  <c r="AC37" i="1"/>
  <c r="D37" i="1"/>
  <c r="B37" i="1" s="1"/>
  <c r="AF36" i="1"/>
  <c r="AE36" i="1"/>
  <c r="AD36" i="1"/>
  <c r="AJ36" i="1" s="1"/>
  <c r="AC36" i="1"/>
  <c r="AG36" i="1" s="1"/>
  <c r="D36" i="1"/>
  <c r="B36" i="1" s="1"/>
  <c r="AF35" i="1"/>
  <c r="AI35" i="1" s="1"/>
  <c r="AE35" i="1"/>
  <c r="AD35" i="1"/>
  <c r="AJ35" i="1" s="1"/>
  <c r="AC35" i="1"/>
  <c r="AH35" i="1" s="1"/>
  <c r="D35" i="1"/>
  <c r="B35" i="1" s="1"/>
  <c r="AI34" i="1"/>
  <c r="AH34" i="1"/>
  <c r="AF34" i="1"/>
  <c r="AE34" i="1"/>
  <c r="AD34" i="1"/>
  <c r="AC34" i="1"/>
  <c r="D34" i="1"/>
  <c r="B34" i="1" s="1"/>
  <c r="AF33" i="1"/>
  <c r="AE33" i="1"/>
  <c r="AD33" i="1"/>
  <c r="AG33" i="1" s="1"/>
  <c r="AC33" i="1"/>
  <c r="D33" i="1"/>
  <c r="B33" i="1" s="1"/>
  <c r="AJ32" i="1"/>
  <c r="AF32" i="1"/>
  <c r="AE32" i="1"/>
  <c r="AD32" i="1"/>
  <c r="AC32" i="1"/>
  <c r="D32" i="1"/>
  <c r="B32" i="1"/>
  <c r="AH31" i="1"/>
  <c r="AF31" i="1"/>
  <c r="AI31" i="1" s="1"/>
  <c r="AE31" i="1"/>
  <c r="AD31" i="1"/>
  <c r="AJ31" i="1" s="1"/>
  <c r="AC31" i="1"/>
  <c r="D31" i="1"/>
  <c r="B31" i="1"/>
  <c r="AJ30" i="1"/>
  <c r="AI30" i="1"/>
  <c r="AF30" i="1"/>
  <c r="AE30" i="1"/>
  <c r="AD30" i="1"/>
  <c r="AC30" i="1"/>
  <c r="AG30" i="1" s="1"/>
  <c r="D30" i="1"/>
  <c r="B30" i="1" s="1"/>
  <c r="AI29" i="1"/>
  <c r="AF29" i="1"/>
  <c r="AE29" i="1"/>
  <c r="AD29" i="1"/>
  <c r="AG29" i="1" s="1"/>
  <c r="AC29" i="1"/>
  <c r="D29" i="1"/>
  <c r="B29" i="1" s="1"/>
  <c r="AF28" i="1"/>
  <c r="AI28" i="1" s="1"/>
  <c r="AE28" i="1"/>
  <c r="AD28" i="1"/>
  <c r="AG28" i="1" s="1"/>
  <c r="AC28" i="1"/>
  <c r="D28" i="1"/>
  <c r="B28" i="1" s="1"/>
  <c r="AJ27" i="1"/>
  <c r="AF27" i="1"/>
  <c r="AI27" i="1" s="1"/>
  <c r="AE27" i="1"/>
  <c r="AD27" i="1"/>
  <c r="AC27" i="1"/>
  <c r="D27" i="1"/>
  <c r="B27" i="1" s="1"/>
  <c r="AF26" i="1"/>
  <c r="AE26" i="1"/>
  <c r="AD26" i="1"/>
  <c r="AJ26" i="1" s="1"/>
  <c r="AC26" i="1"/>
  <c r="D26" i="1"/>
  <c r="B26" i="1" s="1"/>
  <c r="AF25" i="1"/>
  <c r="AI25" i="1" s="1"/>
  <c r="AE25" i="1"/>
  <c r="AD25" i="1"/>
  <c r="AJ25" i="1" s="1"/>
  <c r="AC25" i="1"/>
  <c r="D25" i="1"/>
  <c r="B25" i="1" s="1"/>
  <c r="AI24" i="1"/>
  <c r="AH24" i="1"/>
  <c r="AF24" i="1"/>
  <c r="AE24" i="1"/>
  <c r="AD24" i="1"/>
  <c r="AC24" i="1"/>
  <c r="D24" i="1"/>
  <c r="B24" i="1"/>
  <c r="AI23" i="1"/>
  <c r="AF23" i="1"/>
  <c r="AH23" i="1" s="1"/>
  <c r="AE23" i="1"/>
  <c r="AD23" i="1"/>
  <c r="AC23" i="1"/>
  <c r="D23" i="1"/>
  <c r="B23" i="1" s="1"/>
  <c r="AF22" i="1"/>
  <c r="AE22" i="1"/>
  <c r="AD22" i="1"/>
  <c r="AC22" i="1"/>
  <c r="D22" i="1"/>
  <c r="B22" i="1" s="1"/>
  <c r="AH21" i="1"/>
  <c r="AF21" i="1"/>
  <c r="AI21" i="1" s="1"/>
  <c r="AE21" i="1"/>
  <c r="AD21" i="1"/>
  <c r="AJ21" i="1" s="1"/>
  <c r="AC21" i="1"/>
  <c r="D21" i="1"/>
  <c r="B21" i="1"/>
  <c r="AJ20" i="1"/>
  <c r="AI20" i="1"/>
  <c r="AH20" i="1"/>
  <c r="AF20" i="1"/>
  <c r="AE20" i="1"/>
  <c r="AD20" i="1"/>
  <c r="AC20" i="1"/>
  <c r="AG20" i="1" s="1"/>
  <c r="D20" i="1"/>
  <c r="B20" i="1" s="1"/>
  <c r="AJ19" i="1"/>
  <c r="AI19" i="1"/>
  <c r="AF19" i="1"/>
  <c r="AE19" i="1"/>
  <c r="AD19" i="1"/>
  <c r="AC19" i="1"/>
  <c r="D19" i="1"/>
  <c r="B19" i="1" s="1"/>
  <c r="AF18" i="1"/>
  <c r="AI18" i="1" s="1"/>
  <c r="AE18" i="1"/>
  <c r="AD18" i="1"/>
  <c r="AC18" i="1"/>
  <c r="AH18" i="1" s="1"/>
  <c r="D18" i="1"/>
  <c r="B18" i="1" s="1"/>
  <c r="AJ17" i="1"/>
  <c r="AF17" i="1"/>
  <c r="AI17" i="1" s="1"/>
  <c r="AE17" i="1"/>
  <c r="AD17" i="1"/>
  <c r="AC17" i="1"/>
  <c r="D17" i="1"/>
  <c r="B17" i="1" s="1"/>
  <c r="AF16" i="1"/>
  <c r="AE16" i="1"/>
  <c r="AD16" i="1"/>
  <c r="AJ16" i="1" s="1"/>
  <c r="AC16" i="1"/>
  <c r="D16" i="1"/>
  <c r="B16" i="1" s="1"/>
  <c r="AF15" i="1"/>
  <c r="AI15" i="1" s="1"/>
  <c r="AE15" i="1"/>
  <c r="AD15" i="1"/>
  <c r="AJ15" i="1" s="1"/>
  <c r="AC15" i="1"/>
  <c r="AH15" i="1" s="1"/>
  <c r="D15" i="1"/>
  <c r="B15" i="1" s="1"/>
  <c r="AF14" i="1"/>
  <c r="AH14" i="1" s="1"/>
  <c r="AE14" i="1"/>
  <c r="AD14" i="1"/>
  <c r="AC14" i="1"/>
  <c r="D14" i="1"/>
  <c r="B14" i="1" s="1"/>
  <c r="AJ13" i="1"/>
  <c r="AF13" i="1"/>
  <c r="AE13" i="1"/>
  <c r="AD13" i="1"/>
  <c r="AC13" i="1"/>
  <c r="D13" i="1"/>
  <c r="B13" i="1" s="1"/>
  <c r="AJ12" i="1"/>
  <c r="AF12" i="1"/>
  <c r="AE12" i="1"/>
  <c r="AD12" i="1"/>
  <c r="AG12" i="1" s="1"/>
  <c r="AC12" i="1"/>
  <c r="D12" i="1"/>
  <c r="B12" i="1" s="1"/>
  <c r="AH11" i="1"/>
  <c r="AG11" i="1"/>
  <c r="AF11" i="1"/>
  <c r="AI11" i="1" s="1"/>
  <c r="AE11" i="1"/>
  <c r="AD11" i="1"/>
  <c r="AJ11" i="1" s="1"/>
  <c r="AC11" i="1"/>
  <c r="D11" i="1"/>
  <c r="B11" i="1"/>
  <c r="AF10" i="1"/>
  <c r="AH10" i="1" s="1"/>
  <c r="AE10" i="1"/>
  <c r="AD10" i="1"/>
  <c r="AJ10" i="1" s="1"/>
  <c r="AC10" i="1"/>
  <c r="AG10" i="1" s="1"/>
  <c r="D10" i="1"/>
  <c r="B10" i="1" s="1"/>
  <c r="AI9" i="1"/>
  <c r="AF9" i="1"/>
  <c r="AE9" i="1"/>
  <c r="AD9" i="1"/>
  <c r="AC9" i="1"/>
  <c r="D9" i="1"/>
  <c r="B9" i="1" s="1"/>
  <c r="AF8" i="1"/>
  <c r="AI8" i="1" s="1"/>
  <c r="AE8" i="1"/>
  <c r="AD8" i="1"/>
  <c r="AC8" i="1"/>
  <c r="AH8" i="1" s="1"/>
  <c r="D8" i="1"/>
  <c r="B8" i="1" s="1"/>
  <c r="AJ7" i="1"/>
  <c r="AF7" i="1"/>
  <c r="AI7" i="1" s="1"/>
  <c r="AE7" i="1"/>
  <c r="AD7" i="1"/>
  <c r="AC7" i="1"/>
  <c r="D7" i="1"/>
  <c r="B7" i="1" s="1"/>
  <c r="AF6" i="1"/>
  <c r="AE6" i="1"/>
  <c r="AD6" i="1"/>
  <c r="AJ6" i="1" s="1"/>
  <c r="AC6" i="1"/>
  <c r="D6" i="1"/>
  <c r="B6" i="1" s="1"/>
  <c r="AG5" i="1"/>
  <c r="AF5" i="1"/>
  <c r="AI5" i="1" s="1"/>
  <c r="AE5" i="1"/>
  <c r="AD5" i="1"/>
  <c r="AJ5" i="1" s="1"/>
  <c r="AC5" i="1"/>
  <c r="D5" i="1"/>
  <c r="B5" i="1" s="1"/>
  <c r="AI4" i="1"/>
  <c r="AF4" i="1"/>
  <c r="AE4" i="1"/>
  <c r="AD4" i="1"/>
  <c r="AC4" i="1"/>
  <c r="AH4" i="1" s="1"/>
  <c r="D4" i="1"/>
  <c r="B4" i="1"/>
  <c r="AF3" i="1"/>
  <c r="AH3" i="1" s="1"/>
  <c r="AE3" i="1"/>
  <c r="AD3" i="1"/>
  <c r="AC3" i="1"/>
  <c r="D3" i="1"/>
  <c r="B3" i="1" s="1"/>
  <c r="AJ2" i="1"/>
  <c r="AG2" i="1"/>
  <c r="AF2" i="1"/>
  <c r="AE2" i="1"/>
  <c r="AD2" i="1"/>
  <c r="AC2" i="1"/>
  <c r="D2" i="1"/>
  <c r="B2" i="1" s="1"/>
  <c r="AI281" i="1" l="1"/>
  <c r="AH281" i="1"/>
  <c r="AG16" i="1"/>
  <c r="AG92" i="1"/>
  <c r="AI93" i="1"/>
  <c r="AG121" i="1"/>
  <c r="AJ121" i="1"/>
  <c r="AG136" i="1"/>
  <c r="AG138" i="1"/>
  <c r="AG145" i="1"/>
  <c r="AG184" i="1"/>
  <c r="AJ184" i="1"/>
  <c r="AH248" i="1"/>
  <c r="AI248" i="1"/>
  <c r="AG323" i="1"/>
  <c r="AJ323" i="1"/>
  <c r="AI334" i="1"/>
  <c r="AG247" i="1"/>
  <c r="AH247" i="1"/>
  <c r="AI250" i="1"/>
  <c r="AG257" i="1"/>
  <c r="AG288" i="1"/>
  <c r="AJ288" i="1"/>
  <c r="AI311" i="1"/>
  <c r="AH311" i="1"/>
  <c r="AG6" i="1"/>
  <c r="AI10" i="1"/>
  <c r="AG13" i="1"/>
  <c r="AI14" i="1"/>
  <c r="AG18" i="1"/>
  <c r="AG42" i="1"/>
  <c r="AG47" i="1"/>
  <c r="AH58" i="1"/>
  <c r="AJ87" i="1"/>
  <c r="AI108" i="1"/>
  <c r="AG110" i="1"/>
  <c r="AJ111" i="1"/>
  <c r="AG117" i="1"/>
  <c r="AJ151" i="1"/>
  <c r="AI181" i="1"/>
  <c r="AH181" i="1"/>
  <c r="AE189" i="1"/>
  <c r="AD189" i="1"/>
  <c r="AJ190" i="1"/>
  <c r="AH202" i="1"/>
  <c r="AG221" i="1"/>
  <c r="AH229" i="1"/>
  <c r="AJ231" i="1"/>
  <c r="AG231" i="1"/>
  <c r="AG249" i="1"/>
  <c r="AJ249" i="1"/>
  <c r="AI96" i="1"/>
  <c r="AH96" i="1"/>
  <c r="AG67" i="1"/>
  <c r="AI221" i="1"/>
  <c r="AH221" i="1"/>
  <c r="AG237" i="1"/>
  <c r="AI291" i="1"/>
  <c r="AH291" i="1"/>
  <c r="AG3" i="1"/>
  <c r="AJ3" i="1"/>
  <c r="AH9" i="1"/>
  <c r="AG31" i="1"/>
  <c r="AG51" i="1"/>
  <c r="AH70" i="1"/>
  <c r="AG77" i="1"/>
  <c r="AJ95" i="1"/>
  <c r="AI150" i="1"/>
  <c r="AI156" i="1"/>
  <c r="AJ164" i="1"/>
  <c r="AG164" i="1"/>
  <c r="AG181" i="1"/>
  <c r="AI242" i="1"/>
  <c r="AH242" i="1"/>
  <c r="AI286" i="1"/>
  <c r="AH286" i="1"/>
  <c r="AH50" i="1"/>
  <c r="AJ67" i="1"/>
  <c r="AH73" i="1"/>
  <c r="AH107" i="1"/>
  <c r="AH133" i="1"/>
  <c r="AD158" i="1"/>
  <c r="AE158" i="1"/>
  <c r="AJ228" i="1"/>
  <c r="AG228" i="1"/>
  <c r="AG22" i="1"/>
  <c r="AJ59" i="1"/>
  <c r="AJ41" i="1"/>
  <c r="AG41" i="1"/>
  <c r="AJ61" i="1"/>
  <c r="AG61" i="1"/>
  <c r="AJ62" i="1"/>
  <c r="AH91" i="1"/>
  <c r="AG97" i="1"/>
  <c r="AH98" i="1"/>
  <c r="AG103" i="1"/>
  <c r="AI120" i="1"/>
  <c r="AH120" i="1"/>
  <c r="AG132" i="1"/>
  <c r="AJ132" i="1"/>
  <c r="AH183" i="1"/>
  <c r="AI186" i="1"/>
  <c r="AI195" i="1"/>
  <c r="AH195" i="1"/>
  <c r="AH198" i="1"/>
  <c r="AG218" i="1"/>
  <c r="AH249" i="1"/>
  <c r="AI300" i="1"/>
  <c r="AH300" i="1"/>
  <c r="AJ322" i="1"/>
  <c r="AG322" i="1"/>
  <c r="AG9" i="1"/>
  <c r="AH13" i="1"/>
  <c r="AJ22" i="1"/>
  <c r="AG25" i="1"/>
  <c r="AH30" i="1"/>
  <c r="AG8" i="1"/>
  <c r="AJ9" i="1"/>
  <c r="AI50" i="1"/>
  <c r="AI3" i="1"/>
  <c r="AG21" i="1"/>
  <c r="AG26" i="1"/>
  <c r="AH29" i="1"/>
  <c r="AH33" i="1"/>
  <c r="AJ53" i="1"/>
  <c r="AH55" i="1"/>
  <c r="AG60" i="1"/>
  <c r="AG71" i="1"/>
  <c r="AJ91" i="1"/>
  <c r="AJ101" i="1"/>
  <c r="AH110" i="1"/>
  <c r="AI155" i="1"/>
  <c r="AI188" i="1"/>
  <c r="AH188" i="1"/>
  <c r="AG197" i="1"/>
  <c r="AJ197" i="1"/>
  <c r="AJ258" i="1"/>
  <c r="AG258" i="1"/>
  <c r="AJ262" i="1"/>
  <c r="AG262" i="1"/>
  <c r="AI81" i="1"/>
  <c r="AH134" i="1"/>
  <c r="AG23" i="1"/>
  <c r="AJ23" i="1"/>
  <c r="AJ33" i="1"/>
  <c r="AH48" i="1"/>
  <c r="AG57" i="1"/>
  <c r="AJ57" i="1"/>
  <c r="AH64" i="1"/>
  <c r="AJ79" i="1"/>
  <c r="AH82" i="1"/>
  <c r="AJ90" i="1"/>
  <c r="AJ100" i="1"/>
  <c r="AH105" i="1"/>
  <c r="AH168" i="1"/>
  <c r="AG188" i="1"/>
  <c r="AJ217" i="1"/>
  <c r="AG217" i="1"/>
  <c r="AG265" i="1"/>
  <c r="AJ265" i="1"/>
  <c r="AI282" i="1"/>
  <c r="AI315" i="1"/>
  <c r="AH315" i="1"/>
  <c r="AH329" i="1"/>
  <c r="AG193" i="1"/>
  <c r="AJ193" i="1"/>
  <c r="AG7" i="1"/>
  <c r="AH28" i="1"/>
  <c r="AJ29" i="1"/>
  <c r="AG32" i="1"/>
  <c r="AH41" i="1"/>
  <c r="AG43" i="1"/>
  <c r="AG48" i="1"/>
  <c r="AH61" i="1"/>
  <c r="AI64" i="1"/>
  <c r="AI82" i="1"/>
  <c r="AJ97" i="1"/>
  <c r="AJ103" i="1"/>
  <c r="AJ106" i="1"/>
  <c r="AH111" i="1"/>
  <c r="AH121" i="1"/>
  <c r="AH126" i="1"/>
  <c r="AH148" i="1"/>
  <c r="AI149" i="1"/>
  <c r="AH179" i="1"/>
  <c r="AG187" i="1"/>
  <c r="AI191" i="1"/>
  <c r="AI194" i="1"/>
  <c r="AH194" i="1"/>
  <c r="AH222" i="1"/>
  <c r="AG227" i="1"/>
  <c r="AH258" i="1"/>
  <c r="AI258" i="1"/>
  <c r="AJ281" i="1"/>
  <c r="AG281" i="1"/>
  <c r="AG337" i="1"/>
  <c r="AJ337" i="1"/>
  <c r="AI192" i="1"/>
  <c r="AH5" i="1"/>
  <c r="AG17" i="1"/>
  <c r="AG27" i="1"/>
  <c r="AH39" i="1"/>
  <c r="AG46" i="1"/>
  <c r="AG49" i="1"/>
  <c r="AH51" i="1"/>
  <c r="AG63" i="1"/>
  <c r="AH68" i="1"/>
  <c r="AG72" i="1"/>
  <c r="AI85" i="1"/>
  <c r="AH87" i="1"/>
  <c r="AH89" i="1"/>
  <c r="AG104" i="1"/>
  <c r="AG108" i="1"/>
  <c r="AG122" i="1"/>
  <c r="AJ156" i="1"/>
  <c r="AH160" i="1"/>
  <c r="AJ161" i="1"/>
  <c r="AG166" i="1"/>
  <c r="AJ199" i="1"/>
  <c r="AI203" i="1"/>
  <c r="AG216" i="1"/>
  <c r="AG242" i="1"/>
  <c r="AH255" i="1"/>
  <c r="AJ257" i="1"/>
  <c r="AH271" i="1"/>
  <c r="AH274" i="1"/>
  <c r="AG286" i="1"/>
  <c r="AG311" i="1"/>
  <c r="AG325" i="1"/>
  <c r="AH268" i="1"/>
  <c r="AH320" i="1"/>
  <c r="AJ336" i="1"/>
  <c r="AH235" i="1"/>
  <c r="AH265" i="1"/>
  <c r="AG291" i="1"/>
  <c r="AG338" i="1"/>
  <c r="AG177" i="1"/>
  <c r="AH207" i="1"/>
  <c r="AG222" i="1"/>
  <c r="AG244" i="1"/>
  <c r="AG273" i="1"/>
  <c r="AI292" i="1"/>
  <c r="AH301" i="1"/>
  <c r="AG254" i="1"/>
  <c r="AG294" i="1"/>
  <c r="AG313" i="1"/>
  <c r="AG127" i="1"/>
  <c r="AJ162" i="1"/>
  <c r="AG165" i="1"/>
  <c r="AJ177" i="1"/>
  <c r="AG179" i="1"/>
  <c r="AG211" i="1"/>
  <c r="AG224" i="1"/>
  <c r="AH228" i="1"/>
  <c r="AG238" i="1"/>
  <c r="AH241" i="1"/>
  <c r="AJ244" i="1"/>
  <c r="AG248" i="1"/>
  <c r="AJ259" i="1"/>
  <c r="AG303" i="1"/>
  <c r="AG304" i="1"/>
  <c r="AH310" i="1"/>
  <c r="AG326" i="1"/>
  <c r="AG328" i="1"/>
  <c r="AI330" i="1"/>
  <c r="AH337" i="1"/>
  <c r="AH25" i="1"/>
  <c r="AG37" i="1"/>
  <c r="AH59" i="1"/>
  <c r="AG66" i="1"/>
  <c r="AG69" i="1"/>
  <c r="AG76" i="1"/>
  <c r="AG88" i="1"/>
  <c r="AJ89" i="1"/>
  <c r="AG102" i="1"/>
  <c r="AG109" i="1"/>
  <c r="AH112" i="1"/>
  <c r="AG114" i="1"/>
  <c r="AH153" i="1"/>
  <c r="AJ160" i="1"/>
  <c r="AI171" i="1"/>
  <c r="AH191" i="1"/>
  <c r="AH193" i="1"/>
  <c r="AG196" i="1"/>
  <c r="AH197" i="1"/>
  <c r="AH226" i="1"/>
  <c r="AH231" i="1"/>
  <c r="AH236" i="1"/>
  <c r="AH240" i="1"/>
  <c r="AI241" i="1"/>
  <c r="AH256" i="1"/>
  <c r="AJ273" i="1"/>
  <c r="AH279" i="1"/>
  <c r="AH289" i="1"/>
  <c r="AH304" i="1"/>
  <c r="AH326" i="1"/>
  <c r="AJ329" i="1"/>
  <c r="AH336" i="1"/>
  <c r="AI337" i="1"/>
  <c r="AH215" i="1"/>
  <c r="AH261" i="1"/>
  <c r="AH266" i="1"/>
  <c r="AH303" i="1"/>
  <c r="AJ313" i="1"/>
  <c r="AG39" i="1"/>
  <c r="AJ65" i="1"/>
  <c r="AG65" i="1"/>
  <c r="AJ55" i="1"/>
  <c r="AG55" i="1"/>
  <c r="AI63" i="1"/>
  <c r="AH63" i="1"/>
  <c r="AI117" i="1"/>
  <c r="AH117" i="1"/>
  <c r="AH130" i="1"/>
  <c r="AJ80" i="1"/>
  <c r="AG80" i="1"/>
  <c r="AH129" i="1"/>
  <c r="AI129" i="1"/>
  <c r="AJ140" i="1"/>
  <c r="AG140" i="1"/>
  <c r="AJ174" i="1"/>
  <c r="AG174" i="1"/>
  <c r="AH182" i="1"/>
  <c r="AG182" i="1"/>
  <c r="AJ24" i="1"/>
  <c r="AG24" i="1"/>
  <c r="AJ116" i="1"/>
  <c r="AG116" i="1"/>
  <c r="AJ125" i="1"/>
  <c r="AG125" i="1"/>
  <c r="AI128" i="1"/>
  <c r="AH128" i="1"/>
  <c r="AH142" i="1"/>
  <c r="AG142" i="1"/>
  <c r="AJ154" i="1"/>
  <c r="AI154" i="1"/>
  <c r="AH165" i="1"/>
  <c r="AI165" i="1"/>
  <c r="AJ8" i="1"/>
  <c r="AJ28" i="1"/>
  <c r="AJ54" i="1"/>
  <c r="AG54" i="1"/>
  <c r="AI62" i="1"/>
  <c r="AH62" i="1"/>
  <c r="AJ99" i="1"/>
  <c r="AG99" i="1"/>
  <c r="AI52" i="1"/>
  <c r="AH52" i="1"/>
  <c r="AJ83" i="1"/>
  <c r="AG83" i="1"/>
  <c r="AI164" i="1"/>
  <c r="AH164" i="1"/>
  <c r="AI196" i="1"/>
  <c r="AH196" i="1"/>
  <c r="AJ84" i="1"/>
  <c r="AG84" i="1"/>
  <c r="AI12" i="1"/>
  <c r="AH12" i="1"/>
  <c r="AJ64" i="1"/>
  <c r="AG64" i="1"/>
  <c r="AJ98" i="1"/>
  <c r="AG98" i="1"/>
  <c r="AI127" i="1"/>
  <c r="AH127" i="1"/>
  <c r="AI153" i="1"/>
  <c r="AJ153" i="1"/>
  <c r="AH163" i="1"/>
  <c r="AG163" i="1"/>
  <c r="AH180" i="1"/>
  <c r="AG180" i="1"/>
  <c r="AJ195" i="1"/>
  <c r="AG195" i="1"/>
  <c r="AI32" i="1"/>
  <c r="AH32" i="1"/>
  <c r="AI43" i="1"/>
  <c r="AH43" i="1"/>
  <c r="AI79" i="1"/>
  <c r="AH79" i="1"/>
  <c r="AJ82" i="1"/>
  <c r="AG82" i="1"/>
  <c r="AI132" i="1"/>
  <c r="AH132" i="1"/>
  <c r="AI13" i="1"/>
  <c r="AI16" i="1"/>
  <c r="AH16" i="1"/>
  <c r="AG19" i="1"/>
  <c r="AI33" i="1"/>
  <c r="AH19" i="1"/>
  <c r="AI6" i="1"/>
  <c r="AH6" i="1"/>
  <c r="AJ14" i="1"/>
  <c r="AG14" i="1"/>
  <c r="AG15" i="1"/>
  <c r="AI26" i="1"/>
  <c r="AH26" i="1"/>
  <c r="AJ34" i="1"/>
  <c r="AG34" i="1"/>
  <c r="AG35" i="1"/>
  <c r="AI86" i="1"/>
  <c r="AJ115" i="1"/>
  <c r="AG115" i="1"/>
  <c r="AI118" i="1"/>
  <c r="AH118" i="1"/>
  <c r="AJ126" i="1"/>
  <c r="AG126" i="1"/>
  <c r="AG141" i="1"/>
  <c r="AJ141" i="1"/>
  <c r="AH170" i="1"/>
  <c r="AI170" i="1"/>
  <c r="AJ44" i="1"/>
  <c r="AG44" i="1"/>
  <c r="AJ18" i="1"/>
  <c r="AJ38" i="1"/>
  <c r="AJ45" i="1"/>
  <c r="AG45" i="1"/>
  <c r="AI53" i="1"/>
  <c r="AH53" i="1"/>
  <c r="AJ81" i="1"/>
  <c r="AG81" i="1"/>
  <c r="AJ85" i="1"/>
  <c r="AG85" i="1"/>
  <c r="AH162" i="1"/>
  <c r="AG162" i="1"/>
  <c r="AJ4" i="1"/>
  <c r="AG4" i="1"/>
  <c r="AI36" i="1"/>
  <c r="AH36" i="1"/>
  <c r="AI2" i="1"/>
  <c r="AH2" i="1"/>
  <c r="AI22" i="1"/>
  <c r="AH22" i="1"/>
  <c r="AI42" i="1"/>
  <c r="AH42" i="1"/>
  <c r="AI78" i="1"/>
  <c r="AH78" i="1"/>
  <c r="AI97" i="1"/>
  <c r="AH97" i="1"/>
  <c r="AH100" i="1"/>
  <c r="AG100" i="1"/>
  <c r="AJ134" i="1"/>
  <c r="AG134" i="1"/>
  <c r="AH178" i="1"/>
  <c r="AG178" i="1"/>
  <c r="AJ94" i="1"/>
  <c r="AJ112" i="1"/>
  <c r="AJ122" i="1"/>
  <c r="AH150" i="1"/>
  <c r="AI151" i="1"/>
  <c r="AH169" i="1"/>
  <c r="AG169" i="1"/>
  <c r="AG170" i="1"/>
  <c r="AJ170" i="1"/>
  <c r="AG172" i="1"/>
  <c r="AG183" i="1"/>
  <c r="AJ183" i="1"/>
  <c r="AG201" i="1"/>
  <c r="AJ201" i="1"/>
  <c r="AG215" i="1"/>
  <c r="AJ215" i="1"/>
  <c r="AG234" i="1"/>
  <c r="AJ234" i="1"/>
  <c r="AJ235" i="1"/>
  <c r="AJ261" i="1"/>
  <c r="AG261" i="1"/>
  <c r="AG267" i="1"/>
  <c r="AJ267" i="1"/>
  <c r="AJ205" i="1"/>
  <c r="AG205" i="1"/>
  <c r="AH209" i="1"/>
  <c r="AI209" i="1"/>
  <c r="AG219" i="1"/>
  <c r="AJ219" i="1"/>
  <c r="AG230" i="1"/>
  <c r="AJ230" i="1"/>
  <c r="AJ241" i="1"/>
  <c r="AG241" i="1"/>
  <c r="AH234" i="1"/>
  <c r="AI234" i="1"/>
  <c r="AH244" i="1"/>
  <c r="AI244" i="1"/>
  <c r="AC189" i="1"/>
  <c r="AM189" i="1"/>
  <c r="AI189" i="1" s="1"/>
  <c r="AH84" i="1"/>
  <c r="AG139" i="1"/>
  <c r="AG168" i="1"/>
  <c r="AJ168" i="1"/>
  <c r="AH174" i="1"/>
  <c r="AI174" i="1"/>
  <c r="AH201" i="1"/>
  <c r="AI205" i="1"/>
  <c r="AH205" i="1"/>
  <c r="AI211" i="1"/>
  <c r="AH211" i="1"/>
  <c r="AI219" i="1"/>
  <c r="AH219" i="1"/>
  <c r="AJ93" i="1"/>
  <c r="AH99" i="1"/>
  <c r="AJ173" i="1"/>
  <c r="AG173" i="1"/>
  <c r="AI200" i="1"/>
  <c r="AH200" i="1"/>
  <c r="AG225" i="1"/>
  <c r="AJ225" i="1"/>
  <c r="AJ243" i="1"/>
  <c r="AG243" i="1"/>
  <c r="AI323" i="1"/>
  <c r="AH323" i="1"/>
  <c r="AJ167" i="1"/>
  <c r="AG167" i="1"/>
  <c r="AG198" i="1"/>
  <c r="AJ198" i="1"/>
  <c r="AG200" i="1"/>
  <c r="AJ210" i="1"/>
  <c r="AG210" i="1"/>
  <c r="AG214" i="1"/>
  <c r="AJ214" i="1"/>
  <c r="AI306" i="1"/>
  <c r="AH306" i="1"/>
  <c r="AG318" i="1"/>
  <c r="AJ318" i="1"/>
  <c r="AG186" i="1"/>
  <c r="AJ186" i="1"/>
  <c r="AG203" i="1"/>
  <c r="AJ203" i="1"/>
  <c r="AI204" i="1"/>
  <c r="AH204" i="1"/>
  <c r="AH46" i="1"/>
  <c r="AH56" i="1"/>
  <c r="AH66" i="1"/>
  <c r="AG75" i="1"/>
  <c r="AJ88" i="1"/>
  <c r="AH92" i="1"/>
  <c r="AG93" i="1"/>
  <c r="AH94" i="1"/>
  <c r="AG113" i="1"/>
  <c r="AH114" i="1"/>
  <c r="AG123" i="1"/>
  <c r="AH124" i="1"/>
  <c r="AH135" i="1"/>
  <c r="AH136" i="1"/>
  <c r="AH137" i="1"/>
  <c r="AH138" i="1"/>
  <c r="AJ139" i="1"/>
  <c r="AH143" i="1"/>
  <c r="AG153" i="1"/>
  <c r="AH155" i="1"/>
  <c r="AG156" i="1"/>
  <c r="AG157" i="1"/>
  <c r="AH159" i="1"/>
  <c r="AI162" i="1"/>
  <c r="AH167" i="1"/>
  <c r="AH173" i="1"/>
  <c r="AI177" i="1"/>
  <c r="AH177" i="1"/>
  <c r="AG185" i="1"/>
  <c r="AH192" i="1"/>
  <c r="AH199" i="1"/>
  <c r="AG204" i="1"/>
  <c r="AG206" i="1"/>
  <c r="AJ206" i="1"/>
  <c r="AG207" i="1"/>
  <c r="AG245" i="1"/>
  <c r="AJ245" i="1"/>
  <c r="AH7" i="1"/>
  <c r="AH27" i="1"/>
  <c r="AH37" i="1"/>
  <c r="AH57" i="1"/>
  <c r="AH67" i="1"/>
  <c r="AH86" i="1"/>
  <c r="AH93" i="1"/>
  <c r="AH101" i="1"/>
  <c r="AH102" i="1"/>
  <c r="AH103" i="1"/>
  <c r="AH104" i="1"/>
  <c r="AG105" i="1"/>
  <c r="AH113" i="1"/>
  <c r="AH123" i="1"/>
  <c r="AH144" i="1"/>
  <c r="AH145" i="1"/>
  <c r="AH146" i="1"/>
  <c r="AH147" i="1"/>
  <c r="AI148" i="1"/>
  <c r="AG154" i="1"/>
  <c r="AG155" i="1"/>
  <c r="AI157" i="1"/>
  <c r="AG159" i="1"/>
  <c r="AJ187" i="1"/>
  <c r="AG202" i="1"/>
  <c r="AJ202" i="1"/>
  <c r="AI262" i="1"/>
  <c r="AH262" i="1"/>
  <c r="AJ287" i="1"/>
  <c r="AG287" i="1"/>
  <c r="AH17" i="1"/>
  <c r="AH47" i="1"/>
  <c r="AH74" i="1"/>
  <c r="AG130" i="1"/>
  <c r="AG158" i="1"/>
  <c r="AH190" i="1"/>
  <c r="AH203" i="1"/>
  <c r="AI206" i="1"/>
  <c r="AH206" i="1"/>
  <c r="AG220" i="1"/>
  <c r="AI276" i="1"/>
  <c r="AH276" i="1"/>
  <c r="AG175" i="1"/>
  <c r="AH176" i="1"/>
  <c r="AG191" i="1"/>
  <c r="AG192" i="1"/>
  <c r="AJ250" i="1"/>
  <c r="AI298" i="1"/>
  <c r="AH298" i="1"/>
  <c r="AJ305" i="1"/>
  <c r="AG305" i="1"/>
  <c r="AH312" i="1"/>
  <c r="AI312" i="1"/>
  <c r="AI316" i="1"/>
  <c r="AH316" i="1"/>
  <c r="AI327" i="1"/>
  <c r="AH327" i="1"/>
  <c r="AG240" i="1"/>
  <c r="AJ240" i="1"/>
  <c r="AI285" i="1"/>
  <c r="AH285" i="1"/>
  <c r="AI295" i="1"/>
  <c r="AH295" i="1"/>
  <c r="AJ297" i="1"/>
  <c r="AG297" i="1"/>
  <c r="AI308" i="1"/>
  <c r="AH308" i="1"/>
  <c r="AJ315" i="1"/>
  <c r="AG315" i="1"/>
  <c r="AH322" i="1"/>
  <c r="AI322" i="1"/>
  <c r="AG278" i="1"/>
  <c r="AJ278" i="1"/>
  <c r="AI287" i="1"/>
  <c r="AH287" i="1"/>
  <c r="AJ307" i="1"/>
  <c r="AG307" i="1"/>
  <c r="AI233" i="1"/>
  <c r="AH233" i="1"/>
  <c r="AH252" i="1"/>
  <c r="AG260" i="1"/>
  <c r="AJ260" i="1"/>
  <c r="AG269" i="1"/>
  <c r="AJ269" i="1"/>
  <c r="AI243" i="1"/>
  <c r="AH243" i="1"/>
  <c r="AJ338" i="1"/>
  <c r="AM158" i="1"/>
  <c r="AI158" i="1" s="1"/>
  <c r="AI210" i="1"/>
  <c r="AH210" i="1"/>
  <c r="AH218" i="1"/>
  <c r="AI218" i="1"/>
  <c r="AH224" i="1"/>
  <c r="AI224" i="1"/>
  <c r="AJ229" i="1"/>
  <c r="AG251" i="1"/>
  <c r="AI254" i="1"/>
  <c r="AH254" i="1"/>
  <c r="AJ332" i="1"/>
  <c r="AG332" i="1"/>
  <c r="AH335" i="1"/>
  <c r="AG335" i="1"/>
  <c r="AJ209" i="1"/>
  <c r="AG209" i="1"/>
  <c r="AH214" i="1"/>
  <c r="AI214" i="1"/>
  <c r="AJ224" i="1"/>
  <c r="AJ254" i="1"/>
  <c r="AH184" i="1"/>
  <c r="AH185" i="1"/>
  <c r="AI217" i="1"/>
  <c r="AH217" i="1"/>
  <c r="AH232" i="1"/>
  <c r="AI313" i="1"/>
  <c r="AH313" i="1"/>
  <c r="AJ328" i="1"/>
  <c r="AJ331" i="1"/>
  <c r="AG331" i="1"/>
  <c r="AI212" i="1"/>
  <c r="AH212" i="1"/>
  <c r="AI223" i="1"/>
  <c r="AH223" i="1"/>
  <c r="AH237" i="1"/>
  <c r="AI238" i="1"/>
  <c r="AI264" i="1"/>
  <c r="AH264" i="1"/>
  <c r="AG270" i="1"/>
  <c r="AI277" i="1"/>
  <c r="AH277" i="1"/>
  <c r="AG280" i="1"/>
  <c r="AJ280" i="1"/>
  <c r="AG285" i="1"/>
  <c r="AJ294" i="1"/>
  <c r="AJ298" i="1"/>
  <c r="AG309" i="1"/>
  <c r="AI297" i="1"/>
  <c r="AH297" i="1"/>
  <c r="AI318" i="1"/>
  <c r="AH318" i="1"/>
  <c r="AG334" i="1"/>
  <c r="AJ334" i="1"/>
  <c r="AI263" i="1"/>
  <c r="AH263" i="1"/>
  <c r="AG266" i="1"/>
  <c r="AG279" i="1"/>
  <c r="AG300" i="1"/>
  <c r="AJ300" i="1"/>
  <c r="AI288" i="1"/>
  <c r="AH288" i="1"/>
  <c r="AI317" i="1"/>
  <c r="AH317" i="1"/>
  <c r="AG333" i="1"/>
  <c r="AG272" i="1"/>
  <c r="AG275" i="1"/>
  <c r="AG299" i="1"/>
  <c r="AG320" i="1"/>
  <c r="AJ320" i="1"/>
  <c r="AH208" i="1"/>
  <c r="AI253" i="1"/>
  <c r="AH253" i="1"/>
  <c r="AJ266" i="1"/>
  <c r="AG268" i="1"/>
  <c r="AI275" i="1"/>
  <c r="AH275" i="1"/>
  <c r="AJ279" i="1"/>
  <c r="AG290" i="1"/>
  <c r="AJ290" i="1"/>
  <c r="AG295" i="1"/>
  <c r="AJ308" i="1"/>
  <c r="AG319" i="1"/>
  <c r="AG256" i="1"/>
  <c r="AJ256" i="1"/>
  <c r="AJ275" i="1"/>
  <c r="AI278" i="1"/>
  <c r="AH278" i="1"/>
  <c r="AI307" i="1"/>
  <c r="AH307" i="1"/>
  <c r="AJ327" i="1"/>
  <c r="AI329" i="1"/>
  <c r="AI332" i="1"/>
  <c r="AH332" i="1"/>
  <c r="AI208" i="1"/>
  <c r="AI213" i="1"/>
  <c r="AH213" i="1"/>
  <c r="AH227" i="1"/>
  <c r="AI228" i="1"/>
  <c r="AG264" i="1"/>
  <c r="AJ272" i="1"/>
  <c r="AG274" i="1"/>
  <c r="AG277" i="1"/>
  <c r="AG289" i="1"/>
  <c r="AJ299" i="1"/>
  <c r="AG310" i="1"/>
  <c r="AJ310" i="1"/>
  <c r="AH340" i="1"/>
  <c r="AG189" i="1" l="1"/>
  <c r="AH189" i="1"/>
  <c r="AJ189" i="1"/>
  <c r="AJ158" i="1"/>
</calcChain>
</file>

<file path=xl/sharedStrings.xml><?xml version="1.0" encoding="utf-8"?>
<sst xmlns="http://schemas.openxmlformats.org/spreadsheetml/2006/main" count="1440" uniqueCount="471">
  <si>
    <t>Name of Kaza</t>
  </si>
  <si>
    <t>kazcode</t>
  </si>
  <si>
    <t>Name of Sanjak</t>
  </si>
  <si>
    <t>sancode</t>
  </si>
  <si>
    <t>Name of Vilayet</t>
  </si>
  <si>
    <t>vilcode</t>
  </si>
  <si>
    <t>Muslims_Female</t>
  </si>
  <si>
    <t>Muslims_Male</t>
  </si>
  <si>
    <t>Greeks_Female</t>
  </si>
  <si>
    <t>Greeks_Male</t>
  </si>
  <si>
    <t>Armenians_Female</t>
  </si>
  <si>
    <t>Armenians_Male</t>
  </si>
  <si>
    <t>Bulgarians_Female</t>
  </si>
  <si>
    <t>Bulgarians_Male</t>
  </si>
  <si>
    <t>Catholics_Female</t>
  </si>
  <si>
    <t>Catholics_Male</t>
  </si>
  <si>
    <t>Jews_Female</t>
  </si>
  <si>
    <t>Jews_Male</t>
  </si>
  <si>
    <t>Protestants_Female</t>
  </si>
  <si>
    <t>Protestants_Male</t>
  </si>
  <si>
    <t>Latins_Female</t>
  </si>
  <si>
    <t>Latins_Male</t>
  </si>
  <si>
    <t>Monophysites_Female</t>
  </si>
  <si>
    <t>Monophysites_Male</t>
  </si>
  <si>
    <t>Non-Muslim Gypsies_Female</t>
  </si>
  <si>
    <t>Non-Muslim Gypsies_Male</t>
  </si>
  <si>
    <t>Foreign Citizens_Female</t>
  </si>
  <si>
    <t>Foreign Citizens_Male</t>
  </si>
  <si>
    <t>Total_Muslim</t>
  </si>
  <si>
    <t>Total_Christian</t>
  </si>
  <si>
    <t>Total_NonMuslim</t>
  </si>
  <si>
    <t>Total_Armenian</t>
  </si>
  <si>
    <t>Christian_Muslim_Ratio</t>
  </si>
  <si>
    <t>Armenian_Muslim_Ratio</t>
  </si>
  <si>
    <t>Armenian Share</t>
  </si>
  <si>
    <t>Christian Share</t>
  </si>
  <si>
    <t>Total_Female</t>
  </si>
  <si>
    <t>Total_Male</t>
  </si>
  <si>
    <t>Grand Total</t>
  </si>
  <si>
    <t>Source</t>
  </si>
  <si>
    <t>Adana Central Kaza</t>
  </si>
  <si>
    <t>Adana Sanjak</t>
  </si>
  <si>
    <t>Adana Vilayet</t>
  </si>
  <si>
    <t>1881 Census</t>
  </si>
  <si>
    <t>Karaisali Kaza</t>
  </si>
  <si>
    <t>Mersin Kaza</t>
  </si>
  <si>
    <t>Tarsus Kaza</t>
  </si>
  <si>
    <t>(Osmaniye) Barpuz Kaza</t>
  </si>
  <si>
    <t>Cebelibereket Sanjak</t>
  </si>
  <si>
    <t>Bulanik (Bahçe) Kaza</t>
  </si>
  <si>
    <t>Hassa Kaza</t>
  </si>
  <si>
    <t>İslahiye Kaza</t>
  </si>
  <si>
    <t>Osmaniye Kaza</t>
  </si>
  <si>
    <t>Payas Kaza</t>
  </si>
  <si>
    <t>Anamur Kaza</t>
  </si>
  <si>
    <t>İçel Sanjak</t>
  </si>
  <si>
    <t>Ermenek Kaza</t>
  </si>
  <si>
    <t>Gülnar Kaza</t>
  </si>
  <si>
    <t>Mut Kaza</t>
  </si>
  <si>
    <t>Silifke Kaza</t>
  </si>
  <si>
    <t>Feke Kaza</t>
  </si>
  <si>
    <t>Kozan Sanjak</t>
  </si>
  <si>
    <t>Kadirli Kaza</t>
  </si>
  <si>
    <t>Kozan Kaza</t>
  </si>
  <si>
    <t>Sayimbeyli (Haçin) Kaza</t>
  </si>
  <si>
    <t>Ankara Central Kaza</t>
  </si>
  <si>
    <t>Ankara Sanjak</t>
  </si>
  <si>
    <t>Ankara Vilayet</t>
  </si>
  <si>
    <t>Ayaş Kaza</t>
  </si>
  <si>
    <t>Bâlâ Kaza</t>
  </si>
  <si>
    <t>Beypazarı Kaza</t>
  </si>
  <si>
    <t>Çubuk Kaza</t>
  </si>
  <si>
    <t>Haymana Kaza</t>
  </si>
  <si>
    <t>Kalecik Kaza</t>
  </si>
  <si>
    <t>Kuyucak Kaza</t>
  </si>
  <si>
    <t>Nallihan Kaza</t>
  </si>
  <si>
    <t>Sivrihisar Kaza</t>
  </si>
  <si>
    <t>Yabanabat Kaza</t>
  </si>
  <si>
    <t>Zir Kaza</t>
  </si>
  <si>
    <t>Develi Kaza</t>
  </si>
  <si>
    <t>Kayseri Sanjak</t>
  </si>
  <si>
    <t>İncesu Kaza</t>
  </si>
  <si>
    <t>Kayseri Central Kaza</t>
  </si>
  <si>
    <t>Avanos Kaza</t>
  </si>
  <si>
    <t>Kirşehir Sanjak</t>
  </si>
  <si>
    <t>Ciçekdağo (Mecidiye) Kaza</t>
  </si>
  <si>
    <t>Keskin</t>
  </si>
  <si>
    <t>Kirşehir Central Kaza</t>
  </si>
  <si>
    <t>Boğazlıyan Kaza</t>
  </si>
  <si>
    <t>Yozgat Sanjak</t>
  </si>
  <si>
    <t>Çorum Kaza</t>
  </si>
  <si>
    <t>Maden (Akdağmadeni) Kaza</t>
  </si>
  <si>
    <t>Sungurlu Kaza</t>
  </si>
  <si>
    <t>Yozgat Central Kaza</t>
  </si>
  <si>
    <t>Aydın Central Kaza</t>
  </si>
  <si>
    <t>Aydın Sanjak</t>
  </si>
  <si>
    <t>Aydin Vilayet</t>
  </si>
  <si>
    <t>Bozdoğan Kaza</t>
  </si>
  <si>
    <t>Çine Kaza</t>
  </si>
  <si>
    <t>Nazilli Kaza</t>
  </si>
  <si>
    <t>Söke Kaza</t>
  </si>
  <si>
    <t>Buldan Kaza</t>
  </si>
  <si>
    <t>Denizli Sanjak</t>
  </si>
  <si>
    <t>Çal Kaza</t>
  </si>
  <si>
    <t>Denizli Central Kaza</t>
  </si>
  <si>
    <t>Garbikaraağac (Acıpayam) Kaza</t>
  </si>
  <si>
    <t>Saray Kaza</t>
  </si>
  <si>
    <t>Tavas Kaza</t>
  </si>
  <si>
    <t>Bayındır Kaza</t>
  </si>
  <si>
    <t>Izmir Sanjak</t>
  </si>
  <si>
    <t>Bergama Kaza</t>
  </si>
  <si>
    <t>Çeşme Kaza</t>
  </si>
  <si>
    <t>Foçateyn (Foça) Kaza</t>
  </si>
  <si>
    <t>Izmir Central Kaza</t>
  </si>
  <si>
    <t>Kuşadası Kaza</t>
  </si>
  <si>
    <t>Menemen Kaza</t>
  </si>
  <si>
    <t>Ödemiş Kaza</t>
  </si>
  <si>
    <t>Seferhisar Kaza</t>
  </si>
  <si>
    <t>Tire Kaza</t>
  </si>
  <si>
    <t>Urla Kaza</t>
  </si>
  <si>
    <t>Bodrum Kaza</t>
  </si>
  <si>
    <t xml:space="preserve">Menteşe Sanjak </t>
  </si>
  <si>
    <t>Köyceğiz Kaza</t>
  </si>
  <si>
    <t>Marmaris Kaza</t>
  </si>
  <si>
    <t>Meğri (Fethiye) Kaza</t>
  </si>
  <si>
    <t>Milas Kaza</t>
  </si>
  <si>
    <t>Muğla Kaza</t>
  </si>
  <si>
    <t>Akhisar Kaza</t>
  </si>
  <si>
    <t>Saruhan Sanjak</t>
  </si>
  <si>
    <t>Alaşehir Kaza</t>
  </si>
  <si>
    <t>Demirci Kaza</t>
  </si>
  <si>
    <t>Eşme Kaza</t>
  </si>
  <si>
    <t>Gördes Kaza</t>
  </si>
  <si>
    <t>Kasaba (Turgutlu) Kaza</t>
  </si>
  <si>
    <t>Kirkağaç Kaza</t>
  </si>
  <si>
    <t>Kula Kaza</t>
  </si>
  <si>
    <t>Manisa Kaza</t>
  </si>
  <si>
    <t>Salihli Kaza</t>
  </si>
  <si>
    <t>Soma Kaza</t>
  </si>
  <si>
    <t>Ahlat Kaza</t>
  </si>
  <si>
    <t>Bitlis Sanjak</t>
  </si>
  <si>
    <t>Bitlis Vilayet</t>
  </si>
  <si>
    <t>1892 Salnamesi</t>
  </si>
  <si>
    <t>Bitlis Kaza</t>
  </si>
  <si>
    <t>Hizan Kaza</t>
  </si>
  <si>
    <t>Mutki Kaza</t>
  </si>
  <si>
    <t>Capakcur</t>
  </si>
  <si>
    <t>Genc Sanjak</t>
  </si>
  <si>
    <t>Genc Kaza</t>
  </si>
  <si>
    <t>Kulp Kaza</t>
  </si>
  <si>
    <t>Bulanik Kaza</t>
  </si>
  <si>
    <t>Mus Sanjak</t>
  </si>
  <si>
    <t>Malazgirt Kaza</t>
  </si>
  <si>
    <t>Mus Kaza</t>
  </si>
  <si>
    <t>Sason Kaza</t>
  </si>
  <si>
    <t>Varto Kaza</t>
  </si>
  <si>
    <t>Eruh Kaza</t>
  </si>
  <si>
    <t>Siirt Sanjak</t>
  </si>
  <si>
    <t>Garzan Kaza</t>
  </si>
  <si>
    <t>Pervari Kaza</t>
  </si>
  <si>
    <t>Siirt Kaza</t>
  </si>
  <si>
    <t>Sirvan Kaza</t>
  </si>
  <si>
    <t xml:space="preserve">Afyon Central Kaza </t>
  </si>
  <si>
    <t>Afyonkarahisari (Karahisar-i Sahip) Sanjak</t>
  </si>
  <si>
    <t>16-4</t>
  </si>
  <si>
    <t>Bursa (Hüdavendigar) Province</t>
  </si>
  <si>
    <t>Bolvadin Kaza</t>
  </si>
  <si>
    <t>Emirdağ (Aziziye) Kaza</t>
  </si>
  <si>
    <t>Sandikli Kaza</t>
  </si>
  <si>
    <t>Bursa Kaza</t>
  </si>
  <si>
    <t>Bursa Sanjak</t>
  </si>
  <si>
    <t>Gemlik Kaza</t>
  </si>
  <si>
    <t>Kirmasti (M. Kemalpaşa)</t>
  </si>
  <si>
    <t>Mihaliç ,, (Karacabey)</t>
  </si>
  <si>
    <t>Mudanya Kaza</t>
  </si>
  <si>
    <t>Orhaneli (Adranos) Kaza</t>
  </si>
  <si>
    <t>Bilecik Kaza</t>
  </si>
  <si>
    <t>Ertuğrul Sanjak</t>
  </si>
  <si>
    <t>16-2</t>
  </si>
  <si>
    <t>İnegöl Kaza</t>
  </si>
  <si>
    <t>Söğüt Kaza</t>
  </si>
  <si>
    <t>Yenişehir Kaza</t>
  </si>
  <si>
    <t>Ayvalik Kaza</t>
  </si>
  <si>
    <t>Karesi Sanjak</t>
  </si>
  <si>
    <t>16-5</t>
  </si>
  <si>
    <t>Balikesir Kaza</t>
  </si>
  <si>
    <t>Bandirma Kaza</t>
  </si>
  <si>
    <t>Bigadiç Kaza</t>
  </si>
  <si>
    <t>Burhaniye (Kemer) Kaza</t>
  </si>
  <si>
    <t>Edremit Kaza</t>
  </si>
  <si>
    <t>Erdek Kaza</t>
  </si>
  <si>
    <t>Gönen Kaza</t>
  </si>
  <si>
    <t>Sindirği Kaza</t>
  </si>
  <si>
    <t>Eskişehir Kaza</t>
  </si>
  <si>
    <t>Kütahya Sanjak</t>
  </si>
  <si>
    <t>16-3</t>
  </si>
  <si>
    <t>Gediz Kaza</t>
  </si>
  <si>
    <t>Kütahya Central Kaza</t>
  </si>
  <si>
    <t>Simav Kaza</t>
  </si>
  <si>
    <t>Uşak Kaza</t>
  </si>
  <si>
    <t>Derik Kaza</t>
  </si>
  <si>
    <t>Diyarbekir Sanjak</t>
  </si>
  <si>
    <t>Diyarbekir Vilayet</t>
  </si>
  <si>
    <t>Diyarbekir Central Kaza</t>
  </si>
  <si>
    <t>Lice Kaza</t>
  </si>
  <si>
    <t>Silvan Kaza</t>
  </si>
  <si>
    <t>Siverek Kaza</t>
  </si>
  <si>
    <t>Çermik Kaza</t>
  </si>
  <si>
    <t>Maden Sanjak (Ergani)</t>
  </si>
  <si>
    <t>Maden Central Kaza</t>
  </si>
  <si>
    <t>Palu Kaza</t>
  </si>
  <si>
    <t>Avniye Kaza</t>
  </si>
  <si>
    <t>Mardin Sanjak</t>
  </si>
  <si>
    <t>Cizre Kaza</t>
  </si>
  <si>
    <t>Mardin Central Kaza</t>
  </si>
  <si>
    <t>Midyat Kaza</t>
  </si>
  <si>
    <t>Nusaybin Kaza</t>
  </si>
  <si>
    <t>Dedeağaç Kaza</t>
  </si>
  <si>
    <t>Edirne Sanjak</t>
  </si>
  <si>
    <t>Edirne Vilayet</t>
  </si>
  <si>
    <t>Edirne Central Sanjak</t>
  </si>
  <si>
    <t>Gelibolu Kaza</t>
  </si>
  <si>
    <t>Gümülcine Kaza</t>
  </si>
  <si>
    <t>Kirkkilise (Korklareli) Kaza</t>
  </si>
  <si>
    <t>Tekirdağı (Tekfurdağı)</t>
  </si>
  <si>
    <t>Carsancak Kaza</t>
  </si>
  <si>
    <t>Dersim Kaza</t>
  </si>
  <si>
    <t>Elâziz (Elazığ) Vilayet</t>
  </si>
  <si>
    <t>1893 Salname</t>
  </si>
  <si>
    <t>Cemisgezek Kaza</t>
  </si>
  <si>
    <t>Hozat Kaza</t>
  </si>
  <si>
    <t>Kizilkilise</t>
  </si>
  <si>
    <t>Mazgirt Kaza</t>
  </si>
  <si>
    <t>1893 Salname (+PAH)</t>
  </si>
  <si>
    <t>Ovacik Kaza</t>
  </si>
  <si>
    <t>Arabkir Kaza</t>
  </si>
  <si>
    <t>Elaziz Sanjak</t>
  </si>
  <si>
    <t>Egin Kaza</t>
  </si>
  <si>
    <t>Elaziz Merkez Kaza</t>
  </si>
  <si>
    <t>Keban Madeni Kaza</t>
  </si>
  <si>
    <t>Adıyaman (Hisn-i Mansur) Kaza</t>
  </si>
  <si>
    <t>Malatya Kaza</t>
  </si>
  <si>
    <t>Akcadag Kaza</t>
  </si>
  <si>
    <t>Behisni Kaza</t>
  </si>
  <si>
    <t>Kahta Kaza</t>
  </si>
  <si>
    <t>Malatya Merkez Kaza</t>
  </si>
  <si>
    <t>Bayezit Central Kaza</t>
  </si>
  <si>
    <t>Bayezit Sanjak</t>
  </si>
  <si>
    <t>Erzurum Vilayet</t>
  </si>
  <si>
    <t>Diyadin Kaza</t>
  </si>
  <si>
    <t>Eleşkirt Kaza</t>
  </si>
  <si>
    <t>Karakilise (Karaköse) Kaza</t>
  </si>
  <si>
    <t>Tutak (Antap) Kaza</t>
  </si>
  <si>
    <t>Erzincan Central Kaza</t>
  </si>
  <si>
    <t>Erzincan Sanjak</t>
  </si>
  <si>
    <t>Kemah Kaza</t>
  </si>
  <si>
    <t>Kuruçay (İliç) Kaza</t>
  </si>
  <si>
    <t>Pülümür (Kuzican) Kaza</t>
  </si>
  <si>
    <t>1871 Erzurum Salname (only males)</t>
  </si>
  <si>
    <t>Refahiye Kaza</t>
  </si>
  <si>
    <t>Bayburt Kaza</t>
  </si>
  <si>
    <t>Erzurum Sanjak</t>
  </si>
  <si>
    <t>Erzurum Central Kaza</t>
  </si>
  <si>
    <t>Hinis Kaza</t>
  </si>
  <si>
    <t>Ispir Kaza</t>
  </si>
  <si>
    <t>Gisgim Kaza</t>
  </si>
  <si>
    <t>Kiği Kaza</t>
  </si>
  <si>
    <t>Ova Kaza</t>
  </si>
  <si>
    <t>Pasinler Kaza</t>
  </si>
  <si>
    <t>Tercan Kaza</t>
  </si>
  <si>
    <t>Tortum Kaza</t>
  </si>
  <si>
    <t>Antakya Kaza</t>
  </si>
  <si>
    <t>Halep Sanjak</t>
  </si>
  <si>
    <t>Halep Vilayet</t>
  </si>
  <si>
    <t>1310 Salname</t>
  </si>
  <si>
    <t>Antep Kaza</t>
  </si>
  <si>
    <t>Bâb Kaza</t>
  </si>
  <si>
    <t>Belen Kaza</t>
  </si>
  <si>
    <t>Cebel-i Sem'ân Kaza</t>
  </si>
  <si>
    <t>Cisr-i Şuğûr Kaza</t>
  </si>
  <si>
    <t>Halep Kaza</t>
  </si>
  <si>
    <t>Harim Kaza</t>
  </si>
  <si>
    <t>Idlib Kaza</t>
  </si>
  <si>
    <t>Iskenderun Kaza</t>
  </si>
  <si>
    <t>Kilis Kaza</t>
  </si>
  <si>
    <t>Mare Kaza</t>
  </si>
  <si>
    <t>Münbiç Kaza</t>
  </si>
  <si>
    <t>Rakka Kaza</t>
  </si>
  <si>
    <t>Andirin Kaza</t>
  </si>
  <si>
    <t>Maraş Sanjak</t>
  </si>
  <si>
    <t>Elbistan Kaza</t>
  </si>
  <si>
    <t xml:space="preserve">Maraş Kaza </t>
  </si>
  <si>
    <t>Pazarcik Kaza</t>
  </si>
  <si>
    <t>Zeytun Kaza</t>
  </si>
  <si>
    <t>Birecik Kaza</t>
  </si>
  <si>
    <t>Urfa Sanjak</t>
  </si>
  <si>
    <t>Harran Kaza</t>
  </si>
  <si>
    <t>1318 Salname</t>
  </si>
  <si>
    <t>Rumkale</t>
  </si>
  <si>
    <t>Suruc</t>
  </si>
  <si>
    <t>Urfa Kaza</t>
  </si>
  <si>
    <t>Adalar Kaza</t>
  </si>
  <si>
    <t>N/A</t>
  </si>
  <si>
    <t>34</t>
  </si>
  <si>
    <t>Istanbul Vilayet</t>
  </si>
  <si>
    <t>Beykoz Kaza</t>
  </si>
  <si>
    <t>Gebze Kaza</t>
  </si>
  <si>
    <t>Istanbul City and Greater Istanbul</t>
  </si>
  <si>
    <t>Kartal Kaza</t>
  </si>
  <si>
    <t>Küçükçekmece Kaza</t>
  </si>
  <si>
    <t>Şile Kaza</t>
  </si>
  <si>
    <t>Bartin Kaza</t>
  </si>
  <si>
    <t>Bolu Sanjak</t>
  </si>
  <si>
    <t>Kastamonu Vilayet</t>
  </si>
  <si>
    <t>Bolu Central Kaza</t>
  </si>
  <si>
    <t>Düzçe Kaza</t>
  </si>
  <si>
    <t>Ereğli (K. Deniz)</t>
  </si>
  <si>
    <t>Gerede Kaza</t>
  </si>
  <si>
    <t>Göynük Kaza</t>
  </si>
  <si>
    <t>Hamidiye (Bolu) Kaza</t>
  </si>
  <si>
    <t>Mudurnu (Mud) Kaza</t>
  </si>
  <si>
    <t>Çankiri Central Kaza</t>
  </si>
  <si>
    <t>Çankiri Sanjak</t>
  </si>
  <si>
    <t>Çerkeş Kaza</t>
  </si>
  <si>
    <t>İskilip Kaza</t>
  </si>
  <si>
    <t>Araç Kaza</t>
  </si>
  <si>
    <t>Kastamonu Sanjak</t>
  </si>
  <si>
    <t>Cide Kaza</t>
  </si>
  <si>
    <t>Daday Kaza</t>
  </si>
  <si>
    <t>inebolu Kaza</t>
  </si>
  <si>
    <t>Kastamonu Central Kaza</t>
  </si>
  <si>
    <t>Safranbolu Kaza</t>
  </si>
  <si>
    <t>Taşköprü Kaza</t>
  </si>
  <si>
    <t>Tosya Kaza</t>
  </si>
  <si>
    <t>Ayancık Kaza</t>
  </si>
  <si>
    <t>Sinop Sanjak</t>
  </si>
  <si>
    <t>Boyabat Kaza</t>
  </si>
  <si>
    <t>Sinop Central Kaza</t>
  </si>
  <si>
    <t>Burdur Central Kaza</t>
  </si>
  <si>
    <t>Burdur Sanjak</t>
  </si>
  <si>
    <t>Konya Vilayet</t>
  </si>
  <si>
    <t>Tefenni Kaza</t>
  </si>
  <si>
    <t>Eğridir Kaza</t>
  </si>
  <si>
    <t>Hamitabat Sanjak (İsparta)</t>
  </si>
  <si>
    <t>İsparta Kaza</t>
  </si>
  <si>
    <t>Karaağaç Kaza</t>
  </si>
  <si>
    <t>Uluborlu Kaza</t>
  </si>
  <si>
    <t>Yalvaç Kaza</t>
  </si>
  <si>
    <t>Akşehir Kaza</t>
  </si>
  <si>
    <t>Konya Sanjak</t>
  </si>
  <si>
    <t>Beyşehri Kaza</t>
  </si>
  <si>
    <t>Bozkir Kaza</t>
  </si>
  <si>
    <t>Ereğli Kaza</t>
  </si>
  <si>
    <t>Hadim Kaza</t>
  </si>
  <si>
    <t>Ilgin Kaza</t>
  </si>
  <si>
    <t>Karaman (Lârende) Kaza</t>
  </si>
  <si>
    <t>Karapinar Kaza</t>
  </si>
  <si>
    <t>Koçhisar Kaza</t>
  </si>
  <si>
    <t>Konya Central Kaza</t>
  </si>
  <si>
    <t>Seydişehir Kaza</t>
  </si>
  <si>
    <t>Aksaray Kaza</t>
  </si>
  <si>
    <t>Niğde Sanjak</t>
  </si>
  <si>
    <t>Bor Kaza</t>
  </si>
  <si>
    <t>Gülşehri (Arapsun) Kaza</t>
  </si>
  <si>
    <t>Nevşehir Kaza</t>
  </si>
  <si>
    <t>Niğde Kaza</t>
  </si>
  <si>
    <t>Ulukışla (Hamidiye) Kaza</t>
  </si>
  <si>
    <t>Ürgüp Kaza</t>
  </si>
  <si>
    <t>Akseki Kaza</t>
  </si>
  <si>
    <t>Teke Sanjak (Antalya)</t>
  </si>
  <si>
    <t>Alanya (Alaiye) Kaza</t>
  </si>
  <si>
    <t>Antalya Kaza</t>
  </si>
  <si>
    <t>Elmalı Kaza</t>
  </si>
  <si>
    <t>Kaş Kaza</t>
  </si>
  <si>
    <t>Ayvacik Kaza</t>
  </si>
  <si>
    <t>Biga Sanjak (Special)</t>
  </si>
  <si>
    <t>17</t>
  </si>
  <si>
    <t>Biga Kaza</t>
  </si>
  <si>
    <t>Çanakkale Kaza</t>
  </si>
  <si>
    <t>Ezine Kaza</t>
  </si>
  <si>
    <t>Lâpseki Kaza</t>
  </si>
  <si>
    <t>Büyükçekmece Kaza</t>
  </si>
  <si>
    <t>Catalca Special</t>
  </si>
  <si>
    <t>59</t>
  </si>
  <si>
    <t>Çatalca Central Kaza</t>
  </si>
  <si>
    <t>Silivri Kaza</t>
  </si>
  <si>
    <t>Adapazarı Kaza</t>
  </si>
  <si>
    <t>Izmit (Special) Sancak</t>
  </si>
  <si>
    <t>41</t>
  </si>
  <si>
    <t>Geyve Kaza</t>
  </si>
  <si>
    <t>41-4</t>
  </si>
  <si>
    <t>İzmit Central Kaza</t>
  </si>
  <si>
    <t>Kandira Kaza</t>
  </si>
  <si>
    <t>Karamürsel Kaza</t>
  </si>
  <si>
    <t xml:space="preserve">Amasya Central Kaza </t>
  </si>
  <si>
    <t>Amasya Sanjak</t>
  </si>
  <si>
    <t>Sivas Vilayet</t>
  </si>
  <si>
    <t>Gümüşhacıköy Kaza</t>
  </si>
  <si>
    <t>Havza Kaza</t>
  </si>
  <si>
    <t>Lâdik Kaza</t>
  </si>
  <si>
    <t>Mecitözü Kaza</t>
  </si>
  <si>
    <t>Merzifon Kaza</t>
  </si>
  <si>
    <t>Osmancik Kaza</t>
  </si>
  <si>
    <t>Vesirköprü (Köprü) Kaza</t>
  </si>
  <si>
    <t>Alucra Kaza</t>
  </si>
  <si>
    <t>Karahişar-ı Şarki (Şebinkarahisar) Sanjak</t>
  </si>
  <si>
    <t>Karahişar-ı Şarki Central Kaza</t>
  </si>
  <si>
    <t>Koyulhisar Kaza</t>
  </si>
  <si>
    <t>Mesudiye Kaza</t>
  </si>
  <si>
    <t>Suşehri Kaza</t>
  </si>
  <si>
    <t>Darende Kaza</t>
  </si>
  <si>
    <t>Sivas Sanjak</t>
  </si>
  <si>
    <t>Divriği Kaza</t>
  </si>
  <si>
    <t>Aziziye (Pınarbaşı)</t>
  </si>
  <si>
    <t>Gürün Kaza</t>
  </si>
  <si>
    <t>Hafik Kaza</t>
  </si>
  <si>
    <t>Sarkişla Kaza</t>
  </si>
  <si>
    <t>Sivas Central Kaza</t>
  </si>
  <si>
    <t>Yildizeli</t>
  </si>
  <si>
    <t>Zara (Koçgiri)</t>
  </si>
  <si>
    <t>Erbaa Kaza</t>
  </si>
  <si>
    <t>Tokat Sanjak</t>
  </si>
  <si>
    <t>Niksar Kaza</t>
  </si>
  <si>
    <t>Tokat Central Kaza</t>
  </si>
  <si>
    <t>Zile Kaza</t>
  </si>
  <si>
    <t>Bafra Kaza</t>
  </si>
  <si>
    <t>Canik Sanjak (Samsun)</t>
  </si>
  <si>
    <t>Trabzon Vilayet</t>
  </si>
  <si>
    <t>Canik Central Kaza</t>
  </si>
  <si>
    <t>Çarşamba Kaza</t>
  </si>
  <si>
    <t>Fatsa Kaza</t>
  </si>
  <si>
    <t>Terme Kaza</t>
  </si>
  <si>
    <t>Ünya Kaza</t>
  </si>
  <si>
    <t>Gümüşhane Central Kaza</t>
  </si>
  <si>
    <t>Gümüşhane Sanjak</t>
  </si>
  <si>
    <t>Kelkit Kaza</t>
  </si>
  <si>
    <t>Şiran Kaza</t>
  </si>
  <si>
    <t>Torul Kaza</t>
  </si>
  <si>
    <t>Hopa Kaza</t>
  </si>
  <si>
    <t>Lâzistan Sanjak</t>
  </si>
  <si>
    <t>Pazar(atina) Kaza</t>
  </si>
  <si>
    <t>Rize Kaza</t>
  </si>
  <si>
    <t>Akçaabat Kaza</t>
  </si>
  <si>
    <t>Trabzon Sanjak</t>
  </si>
  <si>
    <t>Giresun Kaza</t>
  </si>
  <si>
    <t>Görele Kaza</t>
  </si>
  <si>
    <t>Of Kaza</t>
  </si>
  <si>
    <t>Ordu Kaza</t>
  </si>
  <si>
    <t>Sürmene Kaza</t>
  </si>
  <si>
    <t>Tirebolu Kaza</t>
  </si>
  <si>
    <t>Trabzon Central Kaza</t>
  </si>
  <si>
    <t>Vakfıkebir Kaza</t>
  </si>
  <si>
    <t>Albak Kaza</t>
  </si>
  <si>
    <t>Hakkâri Sanjak</t>
  </si>
  <si>
    <t>Van Vilayet</t>
  </si>
  <si>
    <t>1315 Salname</t>
  </si>
  <si>
    <t>Beytussebap</t>
  </si>
  <si>
    <t>Çölemerik</t>
  </si>
  <si>
    <t>Gevar Kaza</t>
  </si>
  <si>
    <t>Hamidiye (Van) Kaza</t>
  </si>
  <si>
    <t>Semdinyan</t>
  </si>
  <si>
    <t>Adilcevaz Kaza</t>
  </si>
  <si>
    <t>Van Sanjak</t>
  </si>
  <si>
    <t>Çatak (Şitak) Kaza</t>
  </si>
  <si>
    <t>Erciş Kaza</t>
  </si>
  <si>
    <t>Gevaş Kaza</t>
  </si>
  <si>
    <t>Kariçkan Kaza</t>
  </si>
  <si>
    <t>Mekri Kaza</t>
  </si>
  <si>
    <t>Muradiye (Bargiri) Kaza</t>
  </si>
  <si>
    <t>Van Central Kaza</t>
  </si>
  <si>
    <t>Sanjak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</si>
</sst>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/>
    <xf numFmtId="49" fontId="1" fillId="0" borderId="1" xfId="0" applyNumberFormat="1" applyFont="1" applyBorder="1"/>
    <xf numFmtId="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4" fontId="0" fillId="3" borderId="0" xfId="0" applyNumberFormat="1" applyFill="1"/>
    <xf numFmtId="49" fontId="0" fillId="3" borderId="0" xfId="0" applyNumberFormat="1" applyFill="1"/>
    <xf numFmtId="0" fontId="2" fillId="0" borderId="0" xfId="0" applyFont="1"/>
    <xf numFmtId="4" fontId="0" fillId="2" borderId="0" xfId="0" applyNumberFormat="1" applyFill="1"/>
    <xf numFmtId="49" fontId="0" fillId="2" borderId="0" xfId="0" applyNumberFormat="1" applyFill="1"/>
    <xf numFmtId="0" fontId="2" fillId="2" borderId="0" xfId="0" applyFont="1" applyFill="1"/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right" vertical="top"/>
    </xf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29F7-46F1-6847-B591-5738A0953951}">
  <dimension ref="A1:AO340"/>
  <sheetViews>
    <sheetView tabSelected="1" workbookViewId="0">
      <selection activeCell="E9" sqref="E9"/>
    </sheetView>
  </sheetViews>
  <sheetFormatPr baseColWidth="10" defaultRowHeight="16" x14ac:dyDescent="0.2"/>
  <cols>
    <col min="3" max="3" width="23" customWidth="1"/>
    <col min="5" max="5" width="15.33203125" customWidth="1"/>
    <col min="40" max="40" width="16.1640625" customWidth="1"/>
    <col min="41" max="41" width="20.1640625" customWidth="1"/>
  </cols>
  <sheetData>
    <row r="1" spans="1:41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470</v>
      </c>
    </row>
    <row r="2" spans="1:41" x14ac:dyDescent="0.2">
      <c r="A2" t="s">
        <v>40</v>
      </c>
      <c r="B2" s="4" t="str">
        <f t="shared" ref="B2:B206" si="0">D2&amp;"-"&amp;COUNTIF($C$2:C2,C2)</f>
        <v>1-1-1</v>
      </c>
      <c r="C2" t="s">
        <v>41</v>
      </c>
      <c r="D2" s="5" t="str">
        <f t="shared" ref="D2:D5" si="1">F2&amp;"-"&amp;1</f>
        <v>1-1</v>
      </c>
      <c r="E2" t="s">
        <v>42</v>
      </c>
      <c r="F2">
        <v>1</v>
      </c>
      <c r="G2">
        <v>26709</v>
      </c>
      <c r="H2">
        <v>31340</v>
      </c>
      <c r="I2">
        <v>712</v>
      </c>
      <c r="J2">
        <v>893</v>
      </c>
      <c r="K2">
        <v>4336</v>
      </c>
      <c r="L2">
        <v>5276</v>
      </c>
      <c r="O2">
        <v>306</v>
      </c>
      <c r="P2">
        <v>342</v>
      </c>
      <c r="S2">
        <v>304</v>
      </c>
      <c r="T2">
        <v>332</v>
      </c>
      <c r="W2">
        <v>39</v>
      </c>
      <c r="X2">
        <v>76</v>
      </c>
      <c r="AC2">
        <f t="shared" ref="AC2:AC151" si="2">SUM(G2+H2)</f>
        <v>58049</v>
      </c>
      <c r="AD2">
        <f t="shared" ref="AD2:AD151" si="3">SUM(I2:P2,S2:X2)</f>
        <v>12616</v>
      </c>
      <c r="AE2">
        <f t="shared" ref="AE2:AE151" si="4">SUM(I2:X2)</f>
        <v>12616</v>
      </c>
      <c r="AF2">
        <f t="shared" ref="AF2:AF151" si="5">SUM(K2, L2)</f>
        <v>9612</v>
      </c>
      <c r="AG2">
        <f t="shared" ref="AG2:AG151" si="6">AD2/AC2</f>
        <v>0.21733363193164396</v>
      </c>
      <c r="AH2">
        <f t="shared" ref="AH2:AH151" si="7">AF2/AC2</f>
        <v>0.16558424779065961</v>
      </c>
      <c r="AI2">
        <f t="shared" ref="AI2:AI256" si="8">AF2/AM2</f>
        <v>0.1360220759923583</v>
      </c>
      <c r="AJ2">
        <f t="shared" ref="AJ2:AJ256" si="9">AD2/AM2</f>
        <v>0.17853251255925848</v>
      </c>
      <c r="AK2">
        <v>32406</v>
      </c>
      <c r="AL2">
        <v>38259</v>
      </c>
      <c r="AM2">
        <v>70665</v>
      </c>
      <c r="AN2" t="s">
        <v>43</v>
      </c>
      <c r="AO2">
        <v>1</v>
      </c>
    </row>
    <row r="3" spans="1:41" x14ac:dyDescent="0.2">
      <c r="A3" t="s">
        <v>44</v>
      </c>
      <c r="B3" s="4" t="str">
        <f t="shared" si="0"/>
        <v>1-1-2</v>
      </c>
      <c r="C3" t="s">
        <v>41</v>
      </c>
      <c r="D3" s="5" t="str">
        <f t="shared" si="1"/>
        <v>1-1</v>
      </c>
      <c r="E3" t="s">
        <v>42</v>
      </c>
      <c r="F3">
        <v>1</v>
      </c>
      <c r="G3">
        <v>10090</v>
      </c>
      <c r="H3">
        <v>11505</v>
      </c>
      <c r="K3">
        <v>20</v>
      </c>
      <c r="L3">
        <v>19</v>
      </c>
      <c r="AC3">
        <f t="shared" si="2"/>
        <v>21595</v>
      </c>
      <c r="AD3">
        <f t="shared" si="3"/>
        <v>39</v>
      </c>
      <c r="AE3">
        <f t="shared" si="4"/>
        <v>39</v>
      </c>
      <c r="AF3">
        <f t="shared" si="5"/>
        <v>39</v>
      </c>
      <c r="AG3">
        <f t="shared" si="6"/>
        <v>1.8059736050011577E-3</v>
      </c>
      <c r="AH3">
        <f t="shared" si="7"/>
        <v>1.8059736050011577E-3</v>
      </c>
      <c r="AI3">
        <f t="shared" si="8"/>
        <v>1.8027179439770731E-3</v>
      </c>
      <c r="AJ3">
        <f t="shared" si="9"/>
        <v>1.8027179439770731E-3</v>
      </c>
      <c r="AK3">
        <v>10110</v>
      </c>
      <c r="AL3">
        <v>11524</v>
      </c>
      <c r="AM3">
        <v>21634</v>
      </c>
      <c r="AN3" t="s">
        <v>43</v>
      </c>
      <c r="AO3">
        <v>0</v>
      </c>
    </row>
    <row r="4" spans="1:41" x14ac:dyDescent="0.2">
      <c r="A4" t="s">
        <v>45</v>
      </c>
      <c r="B4" s="4" t="str">
        <f t="shared" si="0"/>
        <v>1-1-3</v>
      </c>
      <c r="C4" t="s">
        <v>41</v>
      </c>
      <c r="D4" s="5" t="str">
        <f t="shared" si="1"/>
        <v>1-1</v>
      </c>
      <c r="E4" t="s">
        <v>42</v>
      </c>
      <c r="F4">
        <v>1</v>
      </c>
      <c r="G4">
        <v>9707</v>
      </c>
      <c r="H4">
        <v>10030</v>
      </c>
      <c r="I4">
        <v>505</v>
      </c>
      <c r="J4">
        <v>697</v>
      </c>
      <c r="K4">
        <v>121</v>
      </c>
      <c r="L4">
        <v>309</v>
      </c>
      <c r="O4">
        <v>131</v>
      </c>
      <c r="P4">
        <v>166</v>
      </c>
      <c r="AC4">
        <f t="shared" si="2"/>
        <v>19737</v>
      </c>
      <c r="AD4">
        <f t="shared" si="3"/>
        <v>1929</v>
      </c>
      <c r="AE4">
        <f t="shared" si="4"/>
        <v>1929</v>
      </c>
      <c r="AF4">
        <f t="shared" si="5"/>
        <v>430</v>
      </c>
      <c r="AG4">
        <f t="shared" si="6"/>
        <v>9.7735218118255057E-2</v>
      </c>
      <c r="AH4">
        <f t="shared" si="7"/>
        <v>2.178649237472767E-2</v>
      </c>
      <c r="AI4">
        <f t="shared" si="8"/>
        <v>1.9846764515831256E-2</v>
      </c>
      <c r="AJ4">
        <f t="shared" si="9"/>
        <v>8.9033508723345339E-2</v>
      </c>
      <c r="AK4">
        <v>10464</v>
      </c>
      <c r="AL4">
        <v>11202</v>
      </c>
      <c r="AM4">
        <v>21666</v>
      </c>
      <c r="AN4" t="s">
        <v>43</v>
      </c>
      <c r="AO4">
        <v>0</v>
      </c>
    </row>
    <row r="5" spans="1:41" x14ac:dyDescent="0.2">
      <c r="A5" t="s">
        <v>46</v>
      </c>
      <c r="B5" s="4" t="str">
        <f t="shared" si="0"/>
        <v>1-1-4</v>
      </c>
      <c r="C5" t="s">
        <v>41</v>
      </c>
      <c r="D5" s="5" t="str">
        <f t="shared" si="1"/>
        <v>1-1</v>
      </c>
      <c r="E5" t="s">
        <v>42</v>
      </c>
      <c r="F5">
        <v>1</v>
      </c>
      <c r="G5">
        <v>19023</v>
      </c>
      <c r="H5">
        <v>20839</v>
      </c>
      <c r="I5">
        <v>281</v>
      </c>
      <c r="J5">
        <v>365</v>
      </c>
      <c r="K5">
        <v>470</v>
      </c>
      <c r="L5">
        <v>704</v>
      </c>
      <c r="O5">
        <v>139</v>
      </c>
      <c r="P5">
        <v>156</v>
      </c>
      <c r="S5">
        <v>94</v>
      </c>
      <c r="T5">
        <v>88</v>
      </c>
      <c r="AC5">
        <f t="shared" si="2"/>
        <v>39862</v>
      </c>
      <c r="AD5">
        <f t="shared" si="3"/>
        <v>2297</v>
      </c>
      <c r="AE5">
        <f t="shared" si="4"/>
        <v>2297</v>
      </c>
      <c r="AF5">
        <f t="shared" si="5"/>
        <v>1174</v>
      </c>
      <c r="AG5">
        <f t="shared" si="6"/>
        <v>5.7623802117304702E-2</v>
      </c>
      <c r="AH5">
        <f t="shared" si="7"/>
        <v>2.9451608047764789E-2</v>
      </c>
      <c r="AI5">
        <f t="shared" si="8"/>
        <v>2.7820564468352332E-2</v>
      </c>
      <c r="AJ5">
        <f t="shared" si="9"/>
        <v>5.4432569492168063E-2</v>
      </c>
      <c r="AK5">
        <v>20007</v>
      </c>
      <c r="AL5">
        <v>22192</v>
      </c>
      <c r="AM5">
        <v>42199</v>
      </c>
      <c r="AN5" t="s">
        <v>43</v>
      </c>
      <c r="AO5">
        <v>0</v>
      </c>
    </row>
    <row r="6" spans="1:41" x14ac:dyDescent="0.2">
      <c r="A6" t="s">
        <v>47</v>
      </c>
      <c r="B6" s="4" t="str">
        <f t="shared" si="0"/>
        <v>1-4-1</v>
      </c>
      <c r="C6" t="s">
        <v>48</v>
      </c>
      <c r="D6" s="5" t="str">
        <f t="shared" ref="D6:D11" si="10">F6&amp;"-"&amp;4</f>
        <v>1-4</v>
      </c>
      <c r="E6" t="s">
        <v>42</v>
      </c>
      <c r="F6">
        <v>1</v>
      </c>
      <c r="G6">
        <v>1432</v>
      </c>
      <c r="H6">
        <v>1588</v>
      </c>
      <c r="K6">
        <v>147</v>
      </c>
      <c r="L6">
        <v>210</v>
      </c>
      <c r="AC6">
        <f t="shared" si="2"/>
        <v>3020</v>
      </c>
      <c r="AD6">
        <f t="shared" si="3"/>
        <v>357</v>
      </c>
      <c r="AE6">
        <f t="shared" si="4"/>
        <v>357</v>
      </c>
      <c r="AF6">
        <f t="shared" si="5"/>
        <v>357</v>
      </c>
      <c r="AG6">
        <f t="shared" si="6"/>
        <v>0.11821192052980133</v>
      </c>
      <c r="AH6">
        <f t="shared" si="7"/>
        <v>0.11821192052980133</v>
      </c>
      <c r="AI6">
        <f t="shared" si="8"/>
        <v>0.1057151317737637</v>
      </c>
      <c r="AJ6">
        <f t="shared" si="9"/>
        <v>0.1057151317737637</v>
      </c>
      <c r="AK6">
        <v>1579</v>
      </c>
      <c r="AL6">
        <v>1798</v>
      </c>
      <c r="AM6">
        <v>3377</v>
      </c>
      <c r="AN6" t="s">
        <v>43</v>
      </c>
      <c r="AO6">
        <v>1</v>
      </c>
    </row>
    <row r="7" spans="1:41" x14ac:dyDescent="0.2">
      <c r="A7" t="s">
        <v>49</v>
      </c>
      <c r="B7" s="4" t="str">
        <f t="shared" si="0"/>
        <v>1-4-2</v>
      </c>
      <c r="C7" t="s">
        <v>48</v>
      </c>
      <c r="D7" s="5" t="str">
        <f t="shared" si="10"/>
        <v>1-4</v>
      </c>
      <c r="E7" t="s">
        <v>42</v>
      </c>
      <c r="F7">
        <v>1</v>
      </c>
      <c r="G7">
        <v>4251</v>
      </c>
      <c r="H7">
        <v>4496</v>
      </c>
      <c r="K7">
        <v>911</v>
      </c>
      <c r="L7">
        <v>1122</v>
      </c>
      <c r="S7">
        <v>140</v>
      </c>
      <c r="T7">
        <v>144</v>
      </c>
      <c r="AC7">
        <f t="shared" si="2"/>
        <v>8747</v>
      </c>
      <c r="AD7">
        <f t="shared" si="3"/>
        <v>2317</v>
      </c>
      <c r="AE7">
        <f t="shared" si="4"/>
        <v>2317</v>
      </c>
      <c r="AF7">
        <f t="shared" si="5"/>
        <v>2033</v>
      </c>
      <c r="AG7">
        <f t="shared" si="6"/>
        <v>0.2648908197096147</v>
      </c>
      <c r="AH7">
        <f t="shared" si="7"/>
        <v>0.23242254487252773</v>
      </c>
      <c r="AI7">
        <f t="shared" si="8"/>
        <v>0.18374909616775126</v>
      </c>
      <c r="AJ7">
        <f t="shared" si="9"/>
        <v>0.20941793203181489</v>
      </c>
      <c r="AK7">
        <v>5302</v>
      </c>
      <c r="AL7">
        <v>5762</v>
      </c>
      <c r="AM7">
        <v>11064</v>
      </c>
      <c r="AN7" t="s">
        <v>43</v>
      </c>
      <c r="AO7">
        <v>0</v>
      </c>
    </row>
    <row r="8" spans="1:41" x14ac:dyDescent="0.2">
      <c r="A8" t="s">
        <v>50</v>
      </c>
      <c r="B8" s="4" t="str">
        <f t="shared" si="0"/>
        <v>1-4-3</v>
      </c>
      <c r="C8" t="s">
        <v>48</v>
      </c>
      <c r="D8" s="5" t="str">
        <f t="shared" si="10"/>
        <v>1-4</v>
      </c>
      <c r="E8" t="s">
        <v>42</v>
      </c>
      <c r="F8">
        <v>1</v>
      </c>
      <c r="G8">
        <v>2923</v>
      </c>
      <c r="H8">
        <v>4157</v>
      </c>
      <c r="I8">
        <v>14</v>
      </c>
      <c r="J8">
        <v>11</v>
      </c>
      <c r="K8">
        <v>136</v>
      </c>
      <c r="L8">
        <v>154</v>
      </c>
      <c r="O8">
        <v>69</v>
      </c>
      <c r="P8">
        <v>81</v>
      </c>
      <c r="S8">
        <v>58</v>
      </c>
      <c r="T8">
        <v>72</v>
      </c>
      <c r="AC8">
        <f t="shared" si="2"/>
        <v>7080</v>
      </c>
      <c r="AD8">
        <f t="shared" si="3"/>
        <v>595</v>
      </c>
      <c r="AE8">
        <f t="shared" si="4"/>
        <v>595</v>
      </c>
      <c r="AF8">
        <f t="shared" si="5"/>
        <v>290</v>
      </c>
      <c r="AG8">
        <f t="shared" si="6"/>
        <v>8.4039548022598873E-2</v>
      </c>
      <c r="AH8">
        <f t="shared" si="7"/>
        <v>4.0960451977401127E-2</v>
      </c>
      <c r="AI8">
        <f t="shared" si="8"/>
        <v>3.7785016286644948E-2</v>
      </c>
      <c r="AJ8">
        <f t="shared" si="9"/>
        <v>7.7524429967426714E-2</v>
      </c>
      <c r="AK8">
        <v>3200</v>
      </c>
      <c r="AL8">
        <v>4975</v>
      </c>
      <c r="AM8">
        <v>7675</v>
      </c>
      <c r="AN8" t="s">
        <v>43</v>
      </c>
      <c r="AO8">
        <v>0</v>
      </c>
    </row>
    <row r="9" spans="1:41" x14ac:dyDescent="0.2">
      <c r="A9" t="s">
        <v>51</v>
      </c>
      <c r="B9" s="4" t="str">
        <f t="shared" si="0"/>
        <v>1-4-4</v>
      </c>
      <c r="C9" t="s">
        <v>48</v>
      </c>
      <c r="D9" s="5" t="str">
        <f t="shared" si="10"/>
        <v>1-4</v>
      </c>
      <c r="E9" t="s">
        <v>42</v>
      </c>
      <c r="F9">
        <v>1</v>
      </c>
      <c r="G9">
        <v>3819</v>
      </c>
      <c r="H9">
        <v>4536</v>
      </c>
      <c r="K9">
        <v>118</v>
      </c>
      <c r="L9">
        <v>175</v>
      </c>
      <c r="AC9">
        <f t="shared" si="2"/>
        <v>8355</v>
      </c>
      <c r="AD9">
        <f t="shared" si="3"/>
        <v>293</v>
      </c>
      <c r="AE9">
        <f t="shared" si="4"/>
        <v>293</v>
      </c>
      <c r="AF9">
        <f t="shared" si="5"/>
        <v>293</v>
      </c>
      <c r="AG9">
        <f t="shared" si="6"/>
        <v>3.5068821065230397E-2</v>
      </c>
      <c r="AH9">
        <f t="shared" si="7"/>
        <v>3.5068821065230397E-2</v>
      </c>
      <c r="AI9">
        <f t="shared" si="8"/>
        <v>3.3880666049953746E-2</v>
      </c>
      <c r="AJ9">
        <f t="shared" si="9"/>
        <v>3.3880666049953746E-2</v>
      </c>
      <c r="AK9">
        <v>3937</v>
      </c>
      <c r="AL9">
        <v>4711</v>
      </c>
      <c r="AM9">
        <v>8648</v>
      </c>
      <c r="AN9" t="s">
        <v>43</v>
      </c>
      <c r="AO9">
        <v>0</v>
      </c>
    </row>
    <row r="10" spans="1:41" x14ac:dyDescent="0.2">
      <c r="A10" t="s">
        <v>52</v>
      </c>
      <c r="B10" s="4" t="str">
        <f t="shared" si="0"/>
        <v>1-4-5</v>
      </c>
      <c r="C10" t="s">
        <v>48</v>
      </c>
      <c r="D10" s="5" t="str">
        <f t="shared" si="10"/>
        <v>1-4</v>
      </c>
      <c r="E10" t="s">
        <v>42</v>
      </c>
      <c r="F10">
        <v>1</v>
      </c>
      <c r="G10">
        <v>3634</v>
      </c>
      <c r="H10">
        <v>4129</v>
      </c>
      <c r="K10">
        <v>39</v>
      </c>
      <c r="L10">
        <v>61</v>
      </c>
      <c r="AC10">
        <f t="shared" si="2"/>
        <v>7763</v>
      </c>
      <c r="AD10">
        <f t="shared" si="3"/>
        <v>100</v>
      </c>
      <c r="AE10">
        <f t="shared" si="4"/>
        <v>100</v>
      </c>
      <c r="AF10">
        <f t="shared" si="5"/>
        <v>100</v>
      </c>
      <c r="AG10">
        <f t="shared" si="6"/>
        <v>1.2881617931212161E-2</v>
      </c>
      <c r="AH10">
        <f t="shared" si="7"/>
        <v>1.2881617931212161E-2</v>
      </c>
      <c r="AI10">
        <f t="shared" si="8"/>
        <v>1.2717792191275595E-2</v>
      </c>
      <c r="AJ10">
        <f t="shared" si="9"/>
        <v>1.2717792191275595E-2</v>
      </c>
      <c r="AK10">
        <v>3673</v>
      </c>
      <c r="AL10">
        <v>4190</v>
      </c>
      <c r="AM10">
        <v>7863</v>
      </c>
      <c r="AN10" t="s">
        <v>43</v>
      </c>
      <c r="AO10">
        <v>0</v>
      </c>
    </row>
    <row r="11" spans="1:41" x14ac:dyDescent="0.2">
      <c r="A11" t="s">
        <v>53</v>
      </c>
      <c r="B11" s="4" t="str">
        <f t="shared" si="0"/>
        <v>1-4-6</v>
      </c>
      <c r="C11" t="s">
        <v>48</v>
      </c>
      <c r="D11" s="5" t="str">
        <f t="shared" si="10"/>
        <v>1-4</v>
      </c>
      <c r="E11" t="s">
        <v>42</v>
      </c>
      <c r="F11">
        <v>1</v>
      </c>
      <c r="G11">
        <v>6266</v>
      </c>
      <c r="H11">
        <v>6941</v>
      </c>
      <c r="I11">
        <v>55</v>
      </c>
      <c r="J11">
        <v>70</v>
      </c>
      <c r="K11">
        <v>1655</v>
      </c>
      <c r="L11">
        <v>1843</v>
      </c>
      <c r="AC11">
        <f t="shared" si="2"/>
        <v>13207</v>
      </c>
      <c r="AD11">
        <f t="shared" si="3"/>
        <v>3623</v>
      </c>
      <c r="AE11">
        <f t="shared" si="4"/>
        <v>3623</v>
      </c>
      <c r="AF11">
        <f t="shared" si="5"/>
        <v>3498</v>
      </c>
      <c r="AG11">
        <f t="shared" si="6"/>
        <v>0.274324222003483</v>
      </c>
      <c r="AH11">
        <f t="shared" si="7"/>
        <v>0.26485954418111607</v>
      </c>
      <c r="AI11">
        <f t="shared" si="8"/>
        <v>0.20784313725490197</v>
      </c>
      <c r="AJ11">
        <f t="shared" si="9"/>
        <v>0.21527035056446822</v>
      </c>
      <c r="AK11">
        <v>7976</v>
      </c>
      <c r="AL11">
        <v>8854</v>
      </c>
      <c r="AM11">
        <v>16830</v>
      </c>
      <c r="AN11" t="s">
        <v>43</v>
      </c>
      <c r="AO11">
        <v>0</v>
      </c>
    </row>
    <row r="12" spans="1:41" x14ac:dyDescent="0.2">
      <c r="A12" t="s">
        <v>54</v>
      </c>
      <c r="B12" s="4" t="str">
        <f t="shared" si="0"/>
        <v>1-3-1</v>
      </c>
      <c r="C12" t="s">
        <v>55</v>
      </c>
      <c r="D12" s="5" t="str">
        <f t="shared" ref="D12:D16" si="11">F12&amp;"-"&amp;3</f>
        <v>1-3</v>
      </c>
      <c r="E12" t="s">
        <v>42</v>
      </c>
      <c r="F12">
        <v>1</v>
      </c>
      <c r="G12">
        <v>10674</v>
      </c>
      <c r="H12">
        <v>11883</v>
      </c>
      <c r="I12">
        <v>145</v>
      </c>
      <c r="J12">
        <v>185</v>
      </c>
      <c r="AC12">
        <f t="shared" si="2"/>
        <v>22557</v>
      </c>
      <c r="AD12">
        <f t="shared" si="3"/>
        <v>330</v>
      </c>
      <c r="AE12">
        <f t="shared" si="4"/>
        <v>330</v>
      </c>
      <c r="AF12">
        <f t="shared" si="5"/>
        <v>0</v>
      </c>
      <c r="AG12">
        <f t="shared" si="6"/>
        <v>1.4629605000664982E-2</v>
      </c>
      <c r="AH12">
        <f t="shared" si="7"/>
        <v>0</v>
      </c>
      <c r="AI12">
        <f t="shared" si="8"/>
        <v>0</v>
      </c>
      <c r="AJ12">
        <f t="shared" si="9"/>
        <v>3.2863288718929253E-3</v>
      </c>
      <c r="AK12">
        <v>49872</v>
      </c>
      <c r="AL12">
        <v>50544</v>
      </c>
      <c r="AM12">
        <v>100416</v>
      </c>
      <c r="AN12" t="s">
        <v>43</v>
      </c>
      <c r="AO12">
        <v>0</v>
      </c>
    </row>
    <row r="13" spans="1:41" x14ac:dyDescent="0.2">
      <c r="A13" t="s">
        <v>56</v>
      </c>
      <c r="B13" s="4" t="str">
        <f t="shared" si="0"/>
        <v>1-3-2</v>
      </c>
      <c r="C13" t="s">
        <v>55</v>
      </c>
      <c r="D13" s="5" t="str">
        <f t="shared" si="11"/>
        <v>1-3</v>
      </c>
      <c r="E13" t="s">
        <v>42</v>
      </c>
      <c r="F13">
        <v>1</v>
      </c>
      <c r="G13">
        <v>12309</v>
      </c>
      <c r="H13">
        <v>11723</v>
      </c>
      <c r="J13">
        <v>3</v>
      </c>
      <c r="K13">
        <v>21</v>
      </c>
      <c r="L13">
        <v>35</v>
      </c>
      <c r="AC13">
        <f t="shared" si="2"/>
        <v>24032</v>
      </c>
      <c r="AD13">
        <f t="shared" si="3"/>
        <v>59</v>
      </c>
      <c r="AE13">
        <f t="shared" si="4"/>
        <v>59</v>
      </c>
      <c r="AF13">
        <f t="shared" si="5"/>
        <v>56</v>
      </c>
      <c r="AG13">
        <f t="shared" si="6"/>
        <v>2.4550599201065247E-3</v>
      </c>
      <c r="AH13">
        <f t="shared" si="7"/>
        <v>2.3302263648468709E-3</v>
      </c>
      <c r="AI13">
        <f t="shared" si="8"/>
        <v>3.3785822021116137E-3</v>
      </c>
      <c r="AJ13">
        <f t="shared" si="9"/>
        <v>3.5595776772247359E-3</v>
      </c>
      <c r="AK13">
        <v>8251</v>
      </c>
      <c r="AL13">
        <v>8324</v>
      </c>
      <c r="AM13">
        <v>16575</v>
      </c>
      <c r="AN13" t="s">
        <v>43</v>
      </c>
      <c r="AO13">
        <v>0</v>
      </c>
    </row>
    <row r="14" spans="1:41" x14ac:dyDescent="0.2">
      <c r="A14" t="s">
        <v>57</v>
      </c>
      <c r="B14" s="4" t="str">
        <f t="shared" si="0"/>
        <v>1-3-3</v>
      </c>
      <c r="C14" t="s">
        <v>55</v>
      </c>
      <c r="D14" s="5" t="str">
        <f t="shared" si="11"/>
        <v>1-3</v>
      </c>
      <c r="E14" t="s">
        <v>42</v>
      </c>
      <c r="F14">
        <v>1</v>
      </c>
      <c r="G14">
        <v>8128</v>
      </c>
      <c r="H14">
        <v>8175</v>
      </c>
      <c r="I14">
        <v>114</v>
      </c>
      <c r="J14">
        <v>136</v>
      </c>
      <c r="K14">
        <v>9</v>
      </c>
      <c r="L14">
        <v>9</v>
      </c>
      <c r="P14">
        <v>4</v>
      </c>
      <c r="AC14">
        <f t="shared" si="2"/>
        <v>16303</v>
      </c>
      <c r="AD14">
        <f t="shared" si="3"/>
        <v>272</v>
      </c>
      <c r="AE14">
        <f t="shared" si="4"/>
        <v>272</v>
      </c>
      <c r="AF14">
        <f t="shared" si="5"/>
        <v>18</v>
      </c>
      <c r="AG14">
        <f t="shared" si="6"/>
        <v>1.6684045881126174E-2</v>
      </c>
      <c r="AH14">
        <f t="shared" si="7"/>
        <v>1.1040912715451145E-3</v>
      </c>
      <c r="AI14">
        <f t="shared" si="8"/>
        <v>7.8647267007471487E-4</v>
      </c>
      <c r="AJ14">
        <f t="shared" si="9"/>
        <v>1.1884475903351248E-2</v>
      </c>
      <c r="AK14">
        <v>10819</v>
      </c>
      <c r="AL14">
        <v>12068</v>
      </c>
      <c r="AM14">
        <v>22887</v>
      </c>
      <c r="AN14" t="s">
        <v>43</v>
      </c>
      <c r="AO14">
        <v>0</v>
      </c>
    </row>
    <row r="15" spans="1:41" x14ac:dyDescent="0.2">
      <c r="A15" t="s">
        <v>58</v>
      </c>
      <c r="B15" s="4" t="str">
        <f t="shared" si="0"/>
        <v>1-3-4</v>
      </c>
      <c r="C15" t="s">
        <v>55</v>
      </c>
      <c r="D15" s="5" t="str">
        <f t="shared" si="11"/>
        <v>1-3</v>
      </c>
      <c r="E15" t="s">
        <v>42</v>
      </c>
      <c r="F15">
        <v>1</v>
      </c>
      <c r="G15">
        <v>5979</v>
      </c>
      <c r="H15">
        <v>5993</v>
      </c>
      <c r="I15">
        <v>7</v>
      </c>
      <c r="J15">
        <v>24</v>
      </c>
      <c r="AC15">
        <f t="shared" si="2"/>
        <v>11972</v>
      </c>
      <c r="AD15">
        <f t="shared" si="3"/>
        <v>31</v>
      </c>
      <c r="AE15">
        <f t="shared" si="4"/>
        <v>31</v>
      </c>
      <c r="AF15">
        <f t="shared" si="5"/>
        <v>0</v>
      </c>
      <c r="AG15">
        <f t="shared" si="6"/>
        <v>2.5893752088205811E-3</v>
      </c>
      <c r="AH15">
        <f t="shared" si="7"/>
        <v>0</v>
      </c>
      <c r="AI15">
        <f t="shared" si="8"/>
        <v>0</v>
      </c>
      <c r="AJ15">
        <f t="shared" si="9"/>
        <v>1.2867875970279357E-3</v>
      </c>
      <c r="AK15">
        <v>12330</v>
      </c>
      <c r="AL15">
        <v>11761</v>
      </c>
      <c r="AM15">
        <v>24091</v>
      </c>
      <c r="AN15" t="s">
        <v>43</v>
      </c>
      <c r="AO15">
        <v>0</v>
      </c>
    </row>
    <row r="16" spans="1:41" x14ac:dyDescent="0.2">
      <c r="A16" t="s">
        <v>59</v>
      </c>
      <c r="B16" s="4" t="str">
        <f t="shared" si="0"/>
        <v>1-3-5</v>
      </c>
      <c r="C16" t="s">
        <v>55</v>
      </c>
      <c r="D16" s="5" t="str">
        <f t="shared" si="11"/>
        <v>1-3</v>
      </c>
      <c r="E16" t="s">
        <v>42</v>
      </c>
      <c r="F16">
        <v>1</v>
      </c>
      <c r="G16">
        <v>12058</v>
      </c>
      <c r="H16">
        <v>11770</v>
      </c>
      <c r="I16">
        <v>378</v>
      </c>
      <c r="J16">
        <v>523</v>
      </c>
      <c r="K16">
        <v>45</v>
      </c>
      <c r="L16">
        <v>68</v>
      </c>
      <c r="O16">
        <v>5</v>
      </c>
      <c r="P16">
        <v>13</v>
      </c>
      <c r="AC16">
        <f t="shared" si="2"/>
        <v>23828</v>
      </c>
      <c r="AD16">
        <f t="shared" si="3"/>
        <v>1032</v>
      </c>
      <c r="AE16">
        <f t="shared" si="4"/>
        <v>1032</v>
      </c>
      <c r="AF16">
        <f t="shared" si="5"/>
        <v>113</v>
      </c>
      <c r="AG16">
        <f t="shared" si="6"/>
        <v>4.3310391136478096E-2</v>
      </c>
      <c r="AH16">
        <f t="shared" si="7"/>
        <v>4.7423199597112636E-3</v>
      </c>
      <c r="AI16">
        <f t="shared" si="8"/>
        <v>9.4143130883945682E-3</v>
      </c>
      <c r="AJ16">
        <f t="shared" si="9"/>
        <v>8.5978505373656589E-2</v>
      </c>
      <c r="AK16">
        <v>5986</v>
      </c>
      <c r="AL16">
        <v>6017</v>
      </c>
      <c r="AM16">
        <v>12003</v>
      </c>
      <c r="AN16" t="s">
        <v>43</v>
      </c>
      <c r="AO16">
        <v>1</v>
      </c>
    </row>
    <row r="17" spans="1:41" x14ac:dyDescent="0.2">
      <c r="A17" t="s">
        <v>60</v>
      </c>
      <c r="B17" s="4" t="str">
        <f t="shared" si="0"/>
        <v>1-2-1</v>
      </c>
      <c r="C17" t="s">
        <v>61</v>
      </c>
      <c r="D17" s="5" t="str">
        <f t="shared" ref="D17:D20" si="12">F17&amp;"-"&amp;2</f>
        <v>1-2</v>
      </c>
      <c r="E17" t="s">
        <v>42</v>
      </c>
      <c r="F17">
        <v>1</v>
      </c>
      <c r="G17">
        <v>4497</v>
      </c>
      <c r="H17">
        <v>5299</v>
      </c>
      <c r="I17">
        <v>544</v>
      </c>
      <c r="J17">
        <v>600</v>
      </c>
      <c r="K17">
        <v>821</v>
      </c>
      <c r="L17">
        <v>1015</v>
      </c>
      <c r="S17">
        <v>59</v>
      </c>
      <c r="T17">
        <v>84</v>
      </c>
      <c r="AC17">
        <f t="shared" si="2"/>
        <v>9796</v>
      </c>
      <c r="AD17">
        <f t="shared" si="3"/>
        <v>3123</v>
      </c>
      <c r="AE17">
        <f t="shared" si="4"/>
        <v>3123</v>
      </c>
      <c r="AF17">
        <f t="shared" si="5"/>
        <v>1836</v>
      </c>
      <c r="AG17">
        <f t="shared" si="6"/>
        <v>0.31880359330338914</v>
      </c>
      <c r="AH17">
        <f t="shared" si="7"/>
        <v>0.18742343813801551</v>
      </c>
      <c r="AI17">
        <f t="shared" si="8"/>
        <v>0.1421162628686431</v>
      </c>
      <c r="AJ17">
        <f t="shared" si="9"/>
        <v>0.24173697654617229</v>
      </c>
      <c r="AK17">
        <v>5921</v>
      </c>
      <c r="AL17">
        <v>6998</v>
      </c>
      <c r="AM17">
        <v>12919</v>
      </c>
      <c r="AN17" t="s">
        <v>43</v>
      </c>
      <c r="AO17">
        <v>0</v>
      </c>
    </row>
    <row r="18" spans="1:41" x14ac:dyDescent="0.2">
      <c r="A18" t="s">
        <v>62</v>
      </c>
      <c r="B18" s="4" t="str">
        <f t="shared" si="0"/>
        <v>1-2-2</v>
      </c>
      <c r="C18" t="s">
        <v>61</v>
      </c>
      <c r="D18" s="5" t="str">
        <f t="shared" si="12"/>
        <v>1-2</v>
      </c>
      <c r="E18" t="s">
        <v>42</v>
      </c>
      <c r="F18">
        <v>1</v>
      </c>
      <c r="G18">
        <v>6665</v>
      </c>
      <c r="H18">
        <v>7444</v>
      </c>
      <c r="K18">
        <v>351</v>
      </c>
      <c r="L18">
        <v>369</v>
      </c>
      <c r="AC18">
        <f t="shared" si="2"/>
        <v>14109</v>
      </c>
      <c r="AD18">
        <f t="shared" si="3"/>
        <v>720</v>
      </c>
      <c r="AE18">
        <f t="shared" si="4"/>
        <v>720</v>
      </c>
      <c r="AF18">
        <f t="shared" si="5"/>
        <v>720</v>
      </c>
      <c r="AG18">
        <f t="shared" si="6"/>
        <v>5.1031256644694878E-2</v>
      </c>
      <c r="AH18">
        <f t="shared" si="7"/>
        <v>5.1031256644694878E-2</v>
      </c>
      <c r="AI18">
        <f t="shared" si="8"/>
        <v>4.8553510014161437E-2</v>
      </c>
      <c r="AJ18">
        <f t="shared" si="9"/>
        <v>4.8553510014161437E-2</v>
      </c>
      <c r="AK18">
        <v>7016</v>
      </c>
      <c r="AL18">
        <v>7813</v>
      </c>
      <c r="AM18">
        <v>14829</v>
      </c>
      <c r="AN18" t="s">
        <v>43</v>
      </c>
      <c r="AO18">
        <v>0</v>
      </c>
    </row>
    <row r="19" spans="1:41" x14ac:dyDescent="0.2">
      <c r="A19" t="s">
        <v>63</v>
      </c>
      <c r="B19" s="4" t="str">
        <f t="shared" si="0"/>
        <v>1-2-3</v>
      </c>
      <c r="C19" t="s">
        <v>61</v>
      </c>
      <c r="D19" s="5" t="str">
        <f t="shared" si="12"/>
        <v>1-2</v>
      </c>
      <c r="E19" t="s">
        <v>42</v>
      </c>
      <c r="F19">
        <v>1</v>
      </c>
      <c r="G19">
        <v>8679</v>
      </c>
      <c r="H19">
        <v>9659</v>
      </c>
      <c r="K19">
        <v>6645</v>
      </c>
      <c r="L19">
        <v>7381</v>
      </c>
      <c r="O19">
        <v>27</v>
      </c>
      <c r="P19">
        <v>29</v>
      </c>
      <c r="S19">
        <v>42</v>
      </c>
      <c r="T19">
        <v>45</v>
      </c>
      <c r="AC19">
        <f t="shared" si="2"/>
        <v>18338</v>
      </c>
      <c r="AD19">
        <f t="shared" si="3"/>
        <v>14169</v>
      </c>
      <c r="AE19">
        <f t="shared" si="4"/>
        <v>14169</v>
      </c>
      <c r="AF19">
        <f t="shared" si="5"/>
        <v>14026</v>
      </c>
      <c r="AG19">
        <f t="shared" si="6"/>
        <v>0.77265786890609667</v>
      </c>
      <c r="AH19">
        <f t="shared" si="7"/>
        <v>0.76485985385538224</v>
      </c>
      <c r="AI19">
        <f t="shared" si="8"/>
        <v>0.43147629741286492</v>
      </c>
      <c r="AJ19">
        <f t="shared" si="9"/>
        <v>0.43587534992463162</v>
      </c>
      <c r="AK19">
        <v>15393</v>
      </c>
      <c r="AL19">
        <v>17114</v>
      </c>
      <c r="AM19">
        <v>32507</v>
      </c>
      <c r="AN19" t="s">
        <v>43</v>
      </c>
      <c r="AO19">
        <v>1</v>
      </c>
    </row>
    <row r="20" spans="1:41" x14ac:dyDescent="0.2">
      <c r="A20" t="s">
        <v>64</v>
      </c>
      <c r="B20" s="4" t="str">
        <f t="shared" si="0"/>
        <v>1-2-4</v>
      </c>
      <c r="C20" t="s">
        <v>61</v>
      </c>
      <c r="D20" s="5" t="str">
        <f t="shared" si="12"/>
        <v>1-2</v>
      </c>
      <c r="E20" t="s">
        <v>42</v>
      </c>
      <c r="F20">
        <v>1</v>
      </c>
      <c r="G20">
        <v>6141</v>
      </c>
      <c r="H20">
        <v>6885</v>
      </c>
      <c r="K20">
        <v>4907</v>
      </c>
      <c r="L20">
        <v>5297</v>
      </c>
      <c r="O20">
        <v>73</v>
      </c>
      <c r="P20">
        <v>72</v>
      </c>
      <c r="S20">
        <v>331</v>
      </c>
      <c r="T20">
        <v>351</v>
      </c>
      <c r="AC20">
        <f t="shared" si="2"/>
        <v>13026</v>
      </c>
      <c r="AD20">
        <f t="shared" si="3"/>
        <v>11031</v>
      </c>
      <c r="AE20">
        <f t="shared" si="4"/>
        <v>11031</v>
      </c>
      <c r="AF20">
        <f t="shared" si="5"/>
        <v>10204</v>
      </c>
      <c r="AG20">
        <f t="shared" si="6"/>
        <v>0.84684477199447261</v>
      </c>
      <c r="AH20">
        <f t="shared" si="7"/>
        <v>0.78335636419468757</v>
      </c>
      <c r="AI20">
        <f t="shared" si="8"/>
        <v>0.42415928835681921</v>
      </c>
      <c r="AJ20">
        <f t="shared" si="9"/>
        <v>0.45853597705449556</v>
      </c>
      <c r="AK20">
        <v>11452</v>
      </c>
      <c r="AL20">
        <v>12605</v>
      </c>
      <c r="AM20">
        <v>24057</v>
      </c>
      <c r="AN20" t="s">
        <v>43</v>
      </c>
      <c r="AO20">
        <v>0</v>
      </c>
    </row>
    <row r="21" spans="1:41" x14ac:dyDescent="0.2">
      <c r="A21" t="s">
        <v>65</v>
      </c>
      <c r="B21" s="4" t="str">
        <f t="shared" si="0"/>
        <v>6-1-1</v>
      </c>
      <c r="C21" t="s">
        <v>66</v>
      </c>
      <c r="D21" s="5" t="str">
        <f t="shared" ref="D21:D32" si="13">F21&amp;"-"&amp;1</f>
        <v>6-1</v>
      </c>
      <c r="E21" t="s">
        <v>67</v>
      </c>
      <c r="F21">
        <v>6</v>
      </c>
      <c r="G21">
        <v>8686</v>
      </c>
      <c r="H21">
        <v>8532</v>
      </c>
      <c r="I21">
        <v>843</v>
      </c>
      <c r="J21">
        <v>794</v>
      </c>
      <c r="K21">
        <v>376</v>
      </c>
      <c r="L21">
        <v>349</v>
      </c>
      <c r="O21">
        <v>2846</v>
      </c>
      <c r="P21">
        <v>2733</v>
      </c>
      <c r="Q21">
        <v>225</v>
      </c>
      <c r="R21">
        <v>188</v>
      </c>
      <c r="S21">
        <v>7</v>
      </c>
      <c r="T21">
        <v>6</v>
      </c>
      <c r="AC21">
        <f t="shared" si="2"/>
        <v>17218</v>
      </c>
      <c r="AD21">
        <f t="shared" si="3"/>
        <v>7954</v>
      </c>
      <c r="AE21">
        <f t="shared" si="4"/>
        <v>8367</v>
      </c>
      <c r="AF21">
        <f t="shared" si="5"/>
        <v>725</v>
      </c>
      <c r="AG21">
        <f t="shared" si="6"/>
        <v>0.46195841561156931</v>
      </c>
      <c r="AH21">
        <f t="shared" si="7"/>
        <v>4.2107097223835523E-2</v>
      </c>
      <c r="AI21">
        <f t="shared" si="8"/>
        <v>2.8325844891580385E-2</v>
      </c>
      <c r="AJ21">
        <f t="shared" si="9"/>
        <v>0.31076382105880057</v>
      </c>
      <c r="AK21">
        <v>12983</v>
      </c>
      <c r="AL21">
        <v>12602</v>
      </c>
      <c r="AM21">
        <v>25595</v>
      </c>
      <c r="AN21" t="s">
        <v>43</v>
      </c>
      <c r="AO21">
        <v>1</v>
      </c>
    </row>
    <row r="22" spans="1:41" x14ac:dyDescent="0.2">
      <c r="A22" t="s">
        <v>68</v>
      </c>
      <c r="B22" s="4" t="str">
        <f t="shared" si="0"/>
        <v>6-1-2</v>
      </c>
      <c r="C22" t="s">
        <v>66</v>
      </c>
      <c r="D22" s="5" t="str">
        <f t="shared" si="13"/>
        <v>6-1</v>
      </c>
      <c r="E22" t="s">
        <v>67</v>
      </c>
      <c r="F22">
        <v>6</v>
      </c>
      <c r="G22">
        <v>10852</v>
      </c>
      <c r="H22">
        <v>10933</v>
      </c>
      <c r="J22">
        <v>2</v>
      </c>
      <c r="K22">
        <v>2</v>
      </c>
      <c r="L22">
        <v>9</v>
      </c>
      <c r="P22">
        <v>9</v>
      </c>
      <c r="R22">
        <v>2</v>
      </c>
      <c r="S22">
        <v>109</v>
      </c>
      <c r="T22">
        <v>127</v>
      </c>
      <c r="AC22">
        <f t="shared" si="2"/>
        <v>21785</v>
      </c>
      <c r="AD22">
        <f t="shared" si="3"/>
        <v>258</v>
      </c>
      <c r="AE22">
        <f t="shared" si="4"/>
        <v>260</v>
      </c>
      <c r="AF22">
        <f t="shared" si="5"/>
        <v>11</v>
      </c>
      <c r="AG22">
        <f t="shared" si="6"/>
        <v>1.1843011246270369E-2</v>
      </c>
      <c r="AH22">
        <f t="shared" si="7"/>
        <v>5.0493458801927928E-4</v>
      </c>
      <c r="AI22">
        <f t="shared" si="8"/>
        <v>5.0437892613141363E-4</v>
      </c>
      <c r="AJ22">
        <f t="shared" si="9"/>
        <v>1.1829978449264065E-2</v>
      </c>
      <c r="AK22">
        <v>10854</v>
      </c>
      <c r="AL22">
        <v>10955</v>
      </c>
      <c r="AM22">
        <v>21809</v>
      </c>
      <c r="AN22" t="s">
        <v>43</v>
      </c>
      <c r="AO22">
        <v>0</v>
      </c>
    </row>
    <row r="23" spans="1:41" x14ac:dyDescent="0.2">
      <c r="A23" t="s">
        <v>69</v>
      </c>
      <c r="B23" s="4" t="str">
        <f t="shared" si="0"/>
        <v>6-1-3</v>
      </c>
      <c r="C23" t="s">
        <v>66</v>
      </c>
      <c r="D23" s="5" t="str">
        <f t="shared" si="13"/>
        <v>6-1</v>
      </c>
      <c r="E23" t="s">
        <v>67</v>
      </c>
      <c r="F23">
        <v>6</v>
      </c>
      <c r="G23">
        <v>11316</v>
      </c>
      <c r="H23">
        <v>11556</v>
      </c>
      <c r="AC23">
        <f t="shared" si="2"/>
        <v>22872</v>
      </c>
      <c r="AD23">
        <f t="shared" si="3"/>
        <v>0</v>
      </c>
      <c r="AE23">
        <f t="shared" si="4"/>
        <v>0</v>
      </c>
      <c r="AF23">
        <f t="shared" si="5"/>
        <v>0</v>
      </c>
      <c r="AG23">
        <f t="shared" si="6"/>
        <v>0</v>
      </c>
      <c r="AH23">
        <f t="shared" si="7"/>
        <v>0</v>
      </c>
      <c r="AI23">
        <f t="shared" si="8"/>
        <v>0</v>
      </c>
      <c r="AJ23">
        <f t="shared" si="9"/>
        <v>0</v>
      </c>
      <c r="AK23">
        <v>11316</v>
      </c>
      <c r="AL23">
        <v>11556</v>
      </c>
      <c r="AM23">
        <v>22872</v>
      </c>
      <c r="AN23" t="s">
        <v>43</v>
      </c>
      <c r="AO23">
        <v>0</v>
      </c>
    </row>
    <row r="24" spans="1:41" x14ac:dyDescent="0.2">
      <c r="A24" t="s">
        <v>70</v>
      </c>
      <c r="B24" s="4" t="str">
        <f t="shared" si="0"/>
        <v>6-1-4</v>
      </c>
      <c r="C24" t="s">
        <v>66</v>
      </c>
      <c r="D24" s="5" t="str">
        <f t="shared" si="13"/>
        <v>6-1</v>
      </c>
      <c r="E24" t="s">
        <v>67</v>
      </c>
      <c r="F24">
        <v>6</v>
      </c>
      <c r="G24">
        <v>8327</v>
      </c>
      <c r="H24">
        <v>7924</v>
      </c>
      <c r="AC24">
        <f t="shared" si="2"/>
        <v>16251</v>
      </c>
      <c r="AD24">
        <f t="shared" si="3"/>
        <v>0</v>
      </c>
      <c r="AE24">
        <f t="shared" si="4"/>
        <v>0</v>
      </c>
      <c r="AF24">
        <f t="shared" si="5"/>
        <v>0</v>
      </c>
      <c r="AG24">
        <f t="shared" si="6"/>
        <v>0</v>
      </c>
      <c r="AH24">
        <f t="shared" si="7"/>
        <v>0</v>
      </c>
      <c r="AI24">
        <f t="shared" si="8"/>
        <v>0</v>
      </c>
      <c r="AJ24">
        <f t="shared" si="9"/>
        <v>0</v>
      </c>
      <c r="AK24">
        <v>8237</v>
      </c>
      <c r="AL24">
        <v>7924</v>
      </c>
      <c r="AM24">
        <v>16251</v>
      </c>
      <c r="AN24" t="s">
        <v>43</v>
      </c>
      <c r="AO24">
        <v>0</v>
      </c>
    </row>
    <row r="25" spans="1:41" x14ac:dyDescent="0.2">
      <c r="A25" t="s">
        <v>71</v>
      </c>
      <c r="B25" s="4" t="str">
        <f t="shared" si="0"/>
        <v>6-1-5</v>
      </c>
      <c r="C25" t="s">
        <v>66</v>
      </c>
      <c r="D25" s="5" t="str">
        <f t="shared" si="13"/>
        <v>6-1</v>
      </c>
      <c r="E25" t="s">
        <v>67</v>
      </c>
      <c r="F25">
        <v>6</v>
      </c>
      <c r="G25">
        <v>9236</v>
      </c>
      <c r="H25">
        <v>8518</v>
      </c>
      <c r="AC25">
        <f t="shared" si="2"/>
        <v>17754</v>
      </c>
      <c r="AD25">
        <f t="shared" si="3"/>
        <v>0</v>
      </c>
      <c r="AE25">
        <f t="shared" si="4"/>
        <v>0</v>
      </c>
      <c r="AF25">
        <f t="shared" si="5"/>
        <v>0</v>
      </c>
      <c r="AG25">
        <f t="shared" si="6"/>
        <v>0</v>
      </c>
      <c r="AH25">
        <f t="shared" si="7"/>
        <v>0</v>
      </c>
      <c r="AI25">
        <f t="shared" si="8"/>
        <v>0</v>
      </c>
      <c r="AJ25">
        <f t="shared" si="9"/>
        <v>0</v>
      </c>
      <c r="AK25">
        <v>9236</v>
      </c>
      <c r="AL25">
        <v>8518</v>
      </c>
      <c r="AM25">
        <v>17754</v>
      </c>
      <c r="AN25" t="s">
        <v>43</v>
      </c>
      <c r="AO25">
        <v>0</v>
      </c>
    </row>
    <row r="26" spans="1:41" x14ac:dyDescent="0.2">
      <c r="A26" t="s">
        <v>72</v>
      </c>
      <c r="B26" s="4" t="str">
        <f t="shared" si="0"/>
        <v>6-1-6</v>
      </c>
      <c r="C26" t="s">
        <v>66</v>
      </c>
      <c r="D26" s="5" t="str">
        <f t="shared" si="13"/>
        <v>6-1</v>
      </c>
      <c r="E26" t="s">
        <v>67</v>
      </c>
      <c r="F26">
        <v>6</v>
      </c>
      <c r="G26">
        <v>11945</v>
      </c>
      <c r="H26">
        <v>13383</v>
      </c>
      <c r="I26">
        <v>11</v>
      </c>
      <c r="J26">
        <v>12</v>
      </c>
      <c r="K26">
        <v>2</v>
      </c>
      <c r="L26">
        <v>3</v>
      </c>
      <c r="AC26">
        <f t="shared" si="2"/>
        <v>25328</v>
      </c>
      <c r="AD26">
        <f t="shared" si="3"/>
        <v>28</v>
      </c>
      <c r="AE26">
        <f t="shared" si="4"/>
        <v>28</v>
      </c>
      <c r="AF26">
        <f t="shared" si="5"/>
        <v>5</v>
      </c>
      <c r="AG26">
        <f t="shared" si="6"/>
        <v>1.1054958938723942E-3</v>
      </c>
      <c r="AH26">
        <f t="shared" si="7"/>
        <v>1.9740998104864183E-4</v>
      </c>
      <c r="AI26">
        <f t="shared" si="8"/>
        <v>1.9719198611768419E-4</v>
      </c>
      <c r="AJ26">
        <f t="shared" si="9"/>
        <v>1.1042751222590313E-3</v>
      </c>
      <c r="AK26">
        <v>11958</v>
      </c>
      <c r="AL26">
        <v>13398</v>
      </c>
      <c r="AM26">
        <v>25356</v>
      </c>
      <c r="AN26" t="s">
        <v>43</v>
      </c>
      <c r="AO26">
        <v>0</v>
      </c>
    </row>
    <row r="27" spans="1:41" x14ac:dyDescent="0.2">
      <c r="A27" t="s">
        <v>73</v>
      </c>
      <c r="B27" s="4" t="str">
        <f t="shared" si="0"/>
        <v>6-1-7</v>
      </c>
      <c r="C27" t="s">
        <v>66</v>
      </c>
      <c r="D27" s="5" t="str">
        <f t="shared" si="13"/>
        <v>6-1</v>
      </c>
      <c r="E27" t="s">
        <v>67</v>
      </c>
      <c r="F27">
        <v>6</v>
      </c>
      <c r="G27">
        <v>17226</v>
      </c>
      <c r="H27">
        <v>17550</v>
      </c>
      <c r="K27">
        <v>227</v>
      </c>
      <c r="L27">
        <v>252</v>
      </c>
      <c r="AC27">
        <f t="shared" si="2"/>
        <v>34776</v>
      </c>
      <c r="AD27">
        <f t="shared" si="3"/>
        <v>479</v>
      </c>
      <c r="AE27">
        <f t="shared" si="4"/>
        <v>479</v>
      </c>
      <c r="AF27">
        <f t="shared" si="5"/>
        <v>479</v>
      </c>
      <c r="AG27">
        <f t="shared" si="6"/>
        <v>1.3773867034736599E-2</v>
      </c>
      <c r="AH27">
        <f t="shared" si="7"/>
        <v>1.3773867034736599E-2</v>
      </c>
      <c r="AI27">
        <f t="shared" si="8"/>
        <v>1.3585569232514607E-2</v>
      </c>
      <c r="AJ27">
        <f t="shared" si="9"/>
        <v>1.3585569232514607E-2</v>
      </c>
      <c r="AK27">
        <v>317453</v>
      </c>
      <c r="AL27">
        <v>17805</v>
      </c>
      <c r="AM27">
        <v>35258</v>
      </c>
      <c r="AN27" t="s">
        <v>43</v>
      </c>
      <c r="AO27">
        <v>0</v>
      </c>
    </row>
    <row r="28" spans="1:41" x14ac:dyDescent="0.2">
      <c r="A28" t="s">
        <v>74</v>
      </c>
      <c r="B28" s="4" t="str">
        <f t="shared" si="0"/>
        <v>6-1-8</v>
      </c>
      <c r="C28" t="s">
        <v>66</v>
      </c>
      <c r="D28" s="5" t="str">
        <f t="shared" si="13"/>
        <v>6-1</v>
      </c>
      <c r="E28" t="s">
        <v>67</v>
      </c>
      <c r="F28">
        <v>6</v>
      </c>
      <c r="G28">
        <v>9340</v>
      </c>
      <c r="H28">
        <v>9189</v>
      </c>
      <c r="AC28">
        <f t="shared" si="2"/>
        <v>18529</v>
      </c>
      <c r="AD28">
        <f t="shared" si="3"/>
        <v>0</v>
      </c>
      <c r="AE28">
        <f t="shared" si="4"/>
        <v>0</v>
      </c>
      <c r="AF28">
        <f t="shared" si="5"/>
        <v>0</v>
      </c>
      <c r="AG28">
        <f t="shared" si="6"/>
        <v>0</v>
      </c>
      <c r="AH28">
        <f t="shared" si="7"/>
        <v>0</v>
      </c>
      <c r="AI28">
        <f t="shared" si="8"/>
        <v>0</v>
      </c>
      <c r="AJ28">
        <f t="shared" si="9"/>
        <v>0</v>
      </c>
      <c r="AK28">
        <v>9340</v>
      </c>
      <c r="AL28">
        <v>9189</v>
      </c>
      <c r="AM28">
        <v>18529</v>
      </c>
      <c r="AN28" t="s">
        <v>43</v>
      </c>
      <c r="AO28">
        <v>0</v>
      </c>
    </row>
    <row r="29" spans="1:41" x14ac:dyDescent="0.2">
      <c r="A29" t="s">
        <v>75</v>
      </c>
      <c r="B29" s="4" t="str">
        <f t="shared" si="0"/>
        <v>6-1-9</v>
      </c>
      <c r="C29" t="s">
        <v>66</v>
      </c>
      <c r="D29" s="5" t="str">
        <f t="shared" si="13"/>
        <v>6-1</v>
      </c>
      <c r="E29" t="s">
        <v>67</v>
      </c>
      <c r="F29">
        <v>6</v>
      </c>
      <c r="G29">
        <v>7516</v>
      </c>
      <c r="H29">
        <v>7354</v>
      </c>
      <c r="K29">
        <v>403</v>
      </c>
      <c r="L29">
        <v>424</v>
      </c>
      <c r="AC29">
        <f t="shared" si="2"/>
        <v>14870</v>
      </c>
      <c r="AD29">
        <f t="shared" si="3"/>
        <v>827</v>
      </c>
      <c r="AE29">
        <f t="shared" si="4"/>
        <v>827</v>
      </c>
      <c r="AF29">
        <f t="shared" si="5"/>
        <v>827</v>
      </c>
      <c r="AG29">
        <f t="shared" si="6"/>
        <v>5.5615332885003366E-2</v>
      </c>
      <c r="AH29">
        <f t="shared" si="7"/>
        <v>5.5615332885003366E-2</v>
      </c>
      <c r="AI29">
        <f t="shared" si="8"/>
        <v>5.2685226476396764E-2</v>
      </c>
      <c r="AJ29">
        <f t="shared" si="9"/>
        <v>5.2685226476396764E-2</v>
      </c>
      <c r="AK29">
        <v>7919</v>
      </c>
      <c r="AL29">
        <v>7778</v>
      </c>
      <c r="AM29">
        <v>15697</v>
      </c>
      <c r="AN29" t="s">
        <v>43</v>
      </c>
      <c r="AO29">
        <v>0</v>
      </c>
    </row>
    <row r="30" spans="1:41" x14ac:dyDescent="0.2">
      <c r="A30" t="s">
        <v>76</v>
      </c>
      <c r="B30" s="4" t="str">
        <f t="shared" si="0"/>
        <v>6-1-10</v>
      </c>
      <c r="C30" t="s">
        <v>66</v>
      </c>
      <c r="D30" s="5" t="str">
        <f t="shared" si="13"/>
        <v>6-1</v>
      </c>
      <c r="E30" t="s">
        <v>67</v>
      </c>
      <c r="F30">
        <v>6</v>
      </c>
      <c r="G30">
        <v>14048</v>
      </c>
      <c r="H30">
        <v>12284</v>
      </c>
      <c r="K30">
        <v>1848</v>
      </c>
      <c r="L30">
        <v>1803</v>
      </c>
      <c r="AC30">
        <f t="shared" si="2"/>
        <v>26332</v>
      </c>
      <c r="AD30">
        <f t="shared" si="3"/>
        <v>3651</v>
      </c>
      <c r="AE30">
        <f t="shared" si="4"/>
        <v>3651</v>
      </c>
      <c r="AF30">
        <f t="shared" si="5"/>
        <v>3651</v>
      </c>
      <c r="AG30">
        <f t="shared" si="6"/>
        <v>0.13865259000455718</v>
      </c>
      <c r="AH30">
        <f t="shared" si="7"/>
        <v>0.13865259000455718</v>
      </c>
      <c r="AI30">
        <f t="shared" si="8"/>
        <v>0.121769002434713</v>
      </c>
      <c r="AJ30">
        <f t="shared" si="9"/>
        <v>0.121769002434713</v>
      </c>
      <c r="AK30">
        <v>15896</v>
      </c>
      <c r="AL30">
        <v>14087</v>
      </c>
      <c r="AM30">
        <v>29983</v>
      </c>
      <c r="AN30" t="s">
        <v>43</v>
      </c>
      <c r="AO30">
        <v>0</v>
      </c>
    </row>
    <row r="31" spans="1:41" x14ac:dyDescent="0.2">
      <c r="A31" t="s">
        <v>77</v>
      </c>
      <c r="B31" s="4" t="str">
        <f t="shared" si="0"/>
        <v>6-1-11</v>
      </c>
      <c r="C31" t="s">
        <v>66</v>
      </c>
      <c r="D31" s="5" t="str">
        <f t="shared" si="13"/>
        <v>6-1</v>
      </c>
      <c r="E31" t="s">
        <v>67</v>
      </c>
      <c r="F31">
        <v>6</v>
      </c>
      <c r="G31">
        <v>22643</v>
      </c>
      <c r="H31">
        <v>22302</v>
      </c>
      <c r="AC31">
        <f t="shared" si="2"/>
        <v>44945</v>
      </c>
      <c r="AD31">
        <f t="shared" si="3"/>
        <v>0</v>
      </c>
      <c r="AE31">
        <f t="shared" si="4"/>
        <v>0</v>
      </c>
      <c r="AF31">
        <f t="shared" si="5"/>
        <v>0</v>
      </c>
      <c r="AG31">
        <f t="shared" si="6"/>
        <v>0</v>
      </c>
      <c r="AH31">
        <f t="shared" si="7"/>
        <v>0</v>
      </c>
      <c r="AI31">
        <f t="shared" si="8"/>
        <v>0</v>
      </c>
      <c r="AJ31">
        <f t="shared" si="9"/>
        <v>0</v>
      </c>
      <c r="AK31">
        <v>22643</v>
      </c>
      <c r="AL31">
        <v>22302</v>
      </c>
      <c r="AM31">
        <v>44945</v>
      </c>
      <c r="AN31" t="s">
        <v>43</v>
      </c>
      <c r="AO31">
        <v>0</v>
      </c>
    </row>
    <row r="32" spans="1:41" x14ac:dyDescent="0.2">
      <c r="A32" t="s">
        <v>78</v>
      </c>
      <c r="B32" s="4" t="str">
        <f t="shared" si="0"/>
        <v>6-1-12</v>
      </c>
      <c r="C32" t="s">
        <v>66</v>
      </c>
      <c r="D32" s="5" t="str">
        <f t="shared" si="13"/>
        <v>6-1</v>
      </c>
      <c r="E32" t="s">
        <v>67</v>
      </c>
      <c r="F32">
        <v>6</v>
      </c>
      <c r="G32">
        <v>7310</v>
      </c>
      <c r="H32">
        <v>7014</v>
      </c>
      <c r="K32">
        <v>1118</v>
      </c>
      <c r="L32">
        <v>1096</v>
      </c>
      <c r="AC32">
        <f t="shared" si="2"/>
        <v>14324</v>
      </c>
      <c r="AD32">
        <f t="shared" si="3"/>
        <v>2214</v>
      </c>
      <c r="AE32">
        <f t="shared" si="4"/>
        <v>2214</v>
      </c>
      <c r="AF32">
        <f t="shared" si="5"/>
        <v>2214</v>
      </c>
      <c r="AG32">
        <f t="shared" si="6"/>
        <v>0.15456576375314157</v>
      </c>
      <c r="AH32">
        <f t="shared" si="7"/>
        <v>0.15456576375314157</v>
      </c>
      <c r="AI32">
        <f t="shared" si="8"/>
        <v>0.13198998449982116</v>
      </c>
      <c r="AJ32">
        <f t="shared" si="9"/>
        <v>0.13198998449982116</v>
      </c>
      <c r="AK32">
        <v>8537</v>
      </c>
      <c r="AL32">
        <v>8237</v>
      </c>
      <c r="AM32">
        <v>16774</v>
      </c>
      <c r="AN32" t="s">
        <v>43</v>
      </c>
      <c r="AO32">
        <v>0</v>
      </c>
    </row>
    <row r="33" spans="1:41" x14ac:dyDescent="0.2">
      <c r="A33" t="s">
        <v>79</v>
      </c>
      <c r="B33" s="4" t="str">
        <f t="shared" si="0"/>
        <v>6-2-1</v>
      </c>
      <c r="C33" t="s">
        <v>80</v>
      </c>
      <c r="D33" s="5" t="str">
        <f t="shared" ref="D33:D35" si="14">F33&amp;"-"&amp;2</f>
        <v>6-2</v>
      </c>
      <c r="E33" t="s">
        <v>67</v>
      </c>
      <c r="F33">
        <v>6</v>
      </c>
      <c r="G33">
        <v>10746</v>
      </c>
      <c r="H33">
        <v>11032</v>
      </c>
      <c r="I33">
        <v>886</v>
      </c>
      <c r="J33">
        <v>935</v>
      </c>
      <c r="K33">
        <v>5241</v>
      </c>
      <c r="L33">
        <v>5605</v>
      </c>
      <c r="S33">
        <v>120</v>
      </c>
      <c r="T33">
        <v>118</v>
      </c>
      <c r="AC33">
        <f t="shared" si="2"/>
        <v>21778</v>
      </c>
      <c r="AD33">
        <f t="shared" si="3"/>
        <v>12905</v>
      </c>
      <c r="AE33">
        <f t="shared" si="4"/>
        <v>12905</v>
      </c>
      <c r="AF33">
        <f t="shared" si="5"/>
        <v>10846</v>
      </c>
      <c r="AG33">
        <f t="shared" si="6"/>
        <v>0.59257048397465328</v>
      </c>
      <c r="AH33">
        <f t="shared" si="7"/>
        <v>0.49802553035173108</v>
      </c>
      <c r="AI33">
        <f t="shared" si="8"/>
        <v>0.31271804630510625</v>
      </c>
      <c r="AJ33">
        <f t="shared" si="9"/>
        <v>0.3720843064325462</v>
      </c>
      <c r="AK33">
        <v>16993</v>
      </c>
      <c r="AL33">
        <v>17690</v>
      </c>
      <c r="AM33">
        <v>34683</v>
      </c>
      <c r="AN33" t="s">
        <v>43</v>
      </c>
      <c r="AO33">
        <v>0</v>
      </c>
    </row>
    <row r="34" spans="1:41" x14ac:dyDescent="0.2">
      <c r="A34" t="s">
        <v>81</v>
      </c>
      <c r="B34" s="4" t="str">
        <f t="shared" si="0"/>
        <v>6-2-2</v>
      </c>
      <c r="C34" t="s">
        <v>80</v>
      </c>
      <c r="D34" s="5" t="str">
        <f t="shared" si="14"/>
        <v>6-2</v>
      </c>
      <c r="E34" t="s">
        <v>67</v>
      </c>
      <c r="F34">
        <v>6</v>
      </c>
      <c r="G34">
        <v>6575</v>
      </c>
      <c r="H34">
        <v>6841</v>
      </c>
      <c r="I34">
        <v>2356</v>
      </c>
      <c r="J34">
        <v>2312</v>
      </c>
      <c r="L34">
        <v>23</v>
      </c>
      <c r="AC34">
        <f t="shared" si="2"/>
        <v>13416</v>
      </c>
      <c r="AD34">
        <f t="shared" si="3"/>
        <v>4691</v>
      </c>
      <c r="AE34">
        <f t="shared" si="4"/>
        <v>4691</v>
      </c>
      <c r="AF34">
        <f t="shared" si="5"/>
        <v>23</v>
      </c>
      <c r="AG34">
        <f t="shared" si="6"/>
        <v>0.34965712581991654</v>
      </c>
      <c r="AH34">
        <f t="shared" si="7"/>
        <v>1.7143709004174121E-3</v>
      </c>
      <c r="AI34">
        <f t="shared" si="8"/>
        <v>1.2702269840393218E-3</v>
      </c>
      <c r="AJ34">
        <f t="shared" si="9"/>
        <v>0.259071077483846</v>
      </c>
      <c r="AK34">
        <v>8931</v>
      </c>
      <c r="AL34">
        <v>9176</v>
      </c>
      <c r="AM34">
        <v>18107</v>
      </c>
      <c r="AN34" t="s">
        <v>43</v>
      </c>
      <c r="AO34">
        <v>0</v>
      </c>
    </row>
    <row r="35" spans="1:41" x14ac:dyDescent="0.2">
      <c r="A35" t="s">
        <v>82</v>
      </c>
      <c r="B35" s="4" t="str">
        <f t="shared" si="0"/>
        <v>6-2-3</v>
      </c>
      <c r="C35" t="s">
        <v>80</v>
      </c>
      <c r="D35" s="5" t="str">
        <f t="shared" si="14"/>
        <v>6-2</v>
      </c>
      <c r="E35" t="s">
        <v>67</v>
      </c>
      <c r="F35">
        <v>6</v>
      </c>
      <c r="G35">
        <v>42140</v>
      </c>
      <c r="H35">
        <v>43023</v>
      </c>
      <c r="I35">
        <v>9196</v>
      </c>
      <c r="J35">
        <v>9210</v>
      </c>
      <c r="K35">
        <v>12178</v>
      </c>
      <c r="L35">
        <v>12772</v>
      </c>
      <c r="O35">
        <v>380</v>
      </c>
      <c r="P35">
        <v>335</v>
      </c>
      <c r="S35">
        <v>664</v>
      </c>
      <c r="T35">
        <v>651</v>
      </c>
      <c r="AC35">
        <f t="shared" si="2"/>
        <v>85163</v>
      </c>
      <c r="AD35">
        <f t="shared" si="3"/>
        <v>45386</v>
      </c>
      <c r="AE35">
        <f t="shared" si="4"/>
        <v>45386</v>
      </c>
      <c r="AF35">
        <f t="shared" si="5"/>
        <v>24950</v>
      </c>
      <c r="AG35">
        <f t="shared" si="6"/>
        <v>0.53293096767375503</v>
      </c>
      <c r="AH35">
        <f t="shared" si="7"/>
        <v>0.29296760330190341</v>
      </c>
      <c r="AI35">
        <f t="shared" si="8"/>
        <v>0.1911159794406698</v>
      </c>
      <c r="AJ35">
        <f t="shared" si="9"/>
        <v>0.3476549035228152</v>
      </c>
      <c r="AK35">
        <v>64558</v>
      </c>
      <c r="AL35">
        <v>65991</v>
      </c>
      <c r="AM35">
        <v>130549</v>
      </c>
      <c r="AN35" t="s">
        <v>43</v>
      </c>
      <c r="AO35">
        <v>1</v>
      </c>
    </row>
    <row r="36" spans="1:41" x14ac:dyDescent="0.2">
      <c r="A36" t="s">
        <v>83</v>
      </c>
      <c r="B36" s="4" t="str">
        <f t="shared" si="0"/>
        <v>6-4-1</v>
      </c>
      <c r="C36" t="s">
        <v>84</v>
      </c>
      <c r="D36" s="5" t="str">
        <f t="shared" ref="D36:D39" si="15">F36&amp;"-"&amp;4</f>
        <v>6-4</v>
      </c>
      <c r="E36" t="s">
        <v>67</v>
      </c>
      <c r="F36">
        <v>6</v>
      </c>
      <c r="G36">
        <v>8357</v>
      </c>
      <c r="H36">
        <v>9613</v>
      </c>
      <c r="K36">
        <v>241</v>
      </c>
      <c r="L36">
        <v>151</v>
      </c>
      <c r="AC36">
        <f t="shared" si="2"/>
        <v>17970</v>
      </c>
      <c r="AD36">
        <f t="shared" si="3"/>
        <v>392</v>
      </c>
      <c r="AE36">
        <f t="shared" si="4"/>
        <v>392</v>
      </c>
      <c r="AF36">
        <f t="shared" si="5"/>
        <v>392</v>
      </c>
      <c r="AG36">
        <f t="shared" si="6"/>
        <v>2.18141346688926E-2</v>
      </c>
      <c r="AH36">
        <f t="shared" si="7"/>
        <v>2.18141346688926E-2</v>
      </c>
      <c r="AI36">
        <f t="shared" si="8"/>
        <v>2.1348436989434703E-2</v>
      </c>
      <c r="AJ36">
        <f t="shared" si="9"/>
        <v>2.1348436989434703E-2</v>
      </c>
      <c r="AK36">
        <v>8598</v>
      </c>
      <c r="AL36">
        <v>9764</v>
      </c>
      <c r="AM36">
        <v>18362</v>
      </c>
      <c r="AN36" t="s">
        <v>43</v>
      </c>
      <c r="AO36">
        <v>0</v>
      </c>
    </row>
    <row r="37" spans="1:41" x14ac:dyDescent="0.2">
      <c r="A37" t="s">
        <v>85</v>
      </c>
      <c r="B37" s="4" t="str">
        <f t="shared" si="0"/>
        <v>6-4-2</v>
      </c>
      <c r="C37" t="s">
        <v>84</v>
      </c>
      <c r="D37" s="5" t="str">
        <f t="shared" si="15"/>
        <v>6-4</v>
      </c>
      <c r="E37" t="s">
        <v>67</v>
      </c>
      <c r="F37">
        <v>6</v>
      </c>
      <c r="G37">
        <v>5055</v>
      </c>
      <c r="H37">
        <v>5745</v>
      </c>
      <c r="AC37">
        <f t="shared" si="2"/>
        <v>10800</v>
      </c>
      <c r="AD37">
        <f t="shared" si="3"/>
        <v>0</v>
      </c>
      <c r="AE37">
        <f t="shared" si="4"/>
        <v>0</v>
      </c>
      <c r="AF37">
        <f t="shared" si="5"/>
        <v>0</v>
      </c>
      <c r="AG37">
        <f t="shared" si="6"/>
        <v>0</v>
      </c>
      <c r="AH37">
        <f t="shared" si="7"/>
        <v>0</v>
      </c>
      <c r="AI37">
        <f t="shared" si="8"/>
        <v>0</v>
      </c>
      <c r="AJ37">
        <f t="shared" si="9"/>
        <v>0</v>
      </c>
      <c r="AK37">
        <v>5055</v>
      </c>
      <c r="AL37">
        <v>5745</v>
      </c>
      <c r="AM37">
        <v>10800</v>
      </c>
      <c r="AN37" t="s">
        <v>43</v>
      </c>
      <c r="AO37">
        <v>0</v>
      </c>
    </row>
    <row r="38" spans="1:41" x14ac:dyDescent="0.2">
      <c r="A38" t="s">
        <v>86</v>
      </c>
      <c r="B38" s="4" t="str">
        <f t="shared" si="0"/>
        <v>6-4-3</v>
      </c>
      <c r="C38" t="s">
        <v>84</v>
      </c>
      <c r="D38" s="5" t="str">
        <f t="shared" si="15"/>
        <v>6-4</v>
      </c>
      <c r="E38" t="s">
        <v>67</v>
      </c>
      <c r="F38">
        <v>6</v>
      </c>
      <c r="G38">
        <v>19465</v>
      </c>
      <c r="H38">
        <v>20014</v>
      </c>
      <c r="I38">
        <v>362</v>
      </c>
      <c r="J38">
        <v>410</v>
      </c>
      <c r="K38">
        <v>161</v>
      </c>
      <c r="L38">
        <v>161</v>
      </c>
      <c r="S38">
        <v>14</v>
      </c>
      <c r="T38">
        <v>12</v>
      </c>
      <c r="AC38">
        <f t="shared" si="2"/>
        <v>39479</v>
      </c>
      <c r="AD38">
        <f t="shared" si="3"/>
        <v>1120</v>
      </c>
      <c r="AE38">
        <f t="shared" si="4"/>
        <v>1120</v>
      </c>
      <c r="AF38">
        <f t="shared" si="5"/>
        <v>322</v>
      </c>
      <c r="AG38">
        <f t="shared" si="6"/>
        <v>2.8369512905595379E-2</v>
      </c>
      <c r="AH38">
        <f t="shared" si="7"/>
        <v>8.1562349603586711E-3</v>
      </c>
      <c r="AI38">
        <f t="shared" si="8"/>
        <v>7.9312298332471238E-3</v>
      </c>
      <c r="AJ38">
        <f t="shared" si="9"/>
        <v>2.7586886376511736E-2</v>
      </c>
      <c r="AK38">
        <v>20002</v>
      </c>
      <c r="AL38">
        <v>20597</v>
      </c>
      <c r="AM38">
        <v>40599</v>
      </c>
      <c r="AN38" t="s">
        <v>43</v>
      </c>
      <c r="AO38">
        <v>0</v>
      </c>
    </row>
    <row r="39" spans="1:41" x14ac:dyDescent="0.2">
      <c r="A39" t="s">
        <v>87</v>
      </c>
      <c r="B39" s="4" t="str">
        <f t="shared" si="0"/>
        <v>6-4-4</v>
      </c>
      <c r="C39" t="s">
        <v>84</v>
      </c>
      <c r="D39" s="5" t="str">
        <f t="shared" si="15"/>
        <v>6-4</v>
      </c>
      <c r="E39" t="s">
        <v>67</v>
      </c>
      <c r="F39">
        <v>6</v>
      </c>
      <c r="G39">
        <v>25692</v>
      </c>
      <c r="H39">
        <v>27907</v>
      </c>
      <c r="I39">
        <v>15</v>
      </c>
      <c r="J39">
        <v>23</v>
      </c>
      <c r="K39">
        <v>318</v>
      </c>
      <c r="L39">
        <v>390</v>
      </c>
      <c r="AC39">
        <f t="shared" si="2"/>
        <v>53599</v>
      </c>
      <c r="AD39">
        <f t="shared" si="3"/>
        <v>746</v>
      </c>
      <c r="AE39">
        <f t="shared" si="4"/>
        <v>746</v>
      </c>
      <c r="AF39">
        <f t="shared" si="5"/>
        <v>708</v>
      </c>
      <c r="AG39">
        <f t="shared" si="6"/>
        <v>1.3918170115114087E-2</v>
      </c>
      <c r="AH39">
        <f t="shared" si="7"/>
        <v>1.3209201664210152E-2</v>
      </c>
      <c r="AI39">
        <f t="shared" si="8"/>
        <v>1.3027877449627381E-2</v>
      </c>
      <c r="AJ39">
        <f t="shared" si="9"/>
        <v>1.3727113809918116E-2</v>
      </c>
      <c r="AK39">
        <v>26025</v>
      </c>
      <c r="AL39">
        <v>28320</v>
      </c>
      <c r="AM39">
        <v>54345</v>
      </c>
      <c r="AN39" t="s">
        <v>43</v>
      </c>
      <c r="AO39">
        <v>1</v>
      </c>
    </row>
    <row r="40" spans="1:41" x14ac:dyDescent="0.2">
      <c r="A40" t="s">
        <v>88</v>
      </c>
      <c r="B40" s="4" t="str">
        <f t="shared" si="0"/>
        <v>6-3-1</v>
      </c>
      <c r="C40" t="s">
        <v>89</v>
      </c>
      <c r="D40" s="5" t="str">
        <f t="shared" ref="D40:D49" si="16">F40&amp;"-"&amp;3</f>
        <v>6-3</v>
      </c>
      <c r="E40" t="s">
        <v>67</v>
      </c>
      <c r="F40">
        <v>6</v>
      </c>
      <c r="G40">
        <v>16091</v>
      </c>
      <c r="H40">
        <v>17359</v>
      </c>
      <c r="I40">
        <v>218</v>
      </c>
      <c r="J40">
        <v>270</v>
      </c>
      <c r="K40">
        <v>4076</v>
      </c>
      <c r="L40">
        <v>4770</v>
      </c>
      <c r="S40">
        <v>18</v>
      </c>
      <c r="T40">
        <v>25</v>
      </c>
      <c r="AC40">
        <f t="shared" si="2"/>
        <v>33450</v>
      </c>
      <c r="AD40">
        <f t="shared" si="3"/>
        <v>9377</v>
      </c>
      <c r="AE40">
        <f t="shared" si="4"/>
        <v>9377</v>
      </c>
      <c r="AF40">
        <f t="shared" si="5"/>
        <v>8846</v>
      </c>
      <c r="AG40">
        <f t="shared" si="6"/>
        <v>0.28032884902840061</v>
      </c>
      <c r="AH40">
        <f t="shared" si="7"/>
        <v>0.26445440956651717</v>
      </c>
      <c r="AI40">
        <f t="shared" si="8"/>
        <v>0.20655194153221099</v>
      </c>
      <c r="AJ40">
        <f t="shared" si="9"/>
        <v>0.21895066196558247</v>
      </c>
      <c r="AK40">
        <v>20403</v>
      </c>
      <c r="AL40">
        <v>22424</v>
      </c>
      <c r="AM40">
        <v>42827</v>
      </c>
      <c r="AN40" t="s">
        <v>43</v>
      </c>
      <c r="AO40">
        <v>0</v>
      </c>
    </row>
    <row r="41" spans="1:41" x14ac:dyDescent="0.2">
      <c r="A41" t="s">
        <v>90</v>
      </c>
      <c r="B41" s="4" t="str">
        <f t="shared" si="0"/>
        <v>6-3-2</v>
      </c>
      <c r="C41" t="s">
        <v>89</v>
      </c>
      <c r="D41" s="5" t="str">
        <f t="shared" si="16"/>
        <v>6-3</v>
      </c>
      <c r="E41" t="s">
        <v>67</v>
      </c>
      <c r="F41">
        <v>6</v>
      </c>
      <c r="G41">
        <v>23830</v>
      </c>
      <c r="H41">
        <v>24551</v>
      </c>
      <c r="I41">
        <v>45</v>
      </c>
      <c r="J41">
        <v>101</v>
      </c>
      <c r="K41">
        <v>200</v>
      </c>
      <c r="L41">
        <v>297</v>
      </c>
      <c r="S41">
        <v>16</v>
      </c>
      <c r="T41">
        <v>17</v>
      </c>
      <c r="AC41">
        <f t="shared" si="2"/>
        <v>48381</v>
      </c>
      <c r="AD41">
        <f t="shared" si="3"/>
        <v>676</v>
      </c>
      <c r="AE41">
        <f t="shared" si="4"/>
        <v>676</v>
      </c>
      <c r="AF41">
        <f t="shared" si="5"/>
        <v>497</v>
      </c>
      <c r="AG41">
        <f t="shared" si="6"/>
        <v>1.397242719249292E-2</v>
      </c>
      <c r="AH41">
        <f t="shared" si="7"/>
        <v>1.0272627684421571E-2</v>
      </c>
      <c r="AI41">
        <f t="shared" si="8"/>
        <v>1.0131072018264468E-2</v>
      </c>
      <c r="AJ41">
        <f t="shared" si="9"/>
        <v>1.3779888700898954E-2</v>
      </c>
      <c r="AK41">
        <v>24091</v>
      </c>
      <c r="AL41">
        <v>24966</v>
      </c>
      <c r="AM41">
        <v>49057</v>
      </c>
      <c r="AN41" t="s">
        <v>43</v>
      </c>
      <c r="AO41">
        <v>0</v>
      </c>
    </row>
    <row r="42" spans="1:41" x14ac:dyDescent="0.2">
      <c r="A42" t="s">
        <v>91</v>
      </c>
      <c r="B42" s="4" t="str">
        <f t="shared" si="0"/>
        <v>6-3-3</v>
      </c>
      <c r="C42" t="s">
        <v>89</v>
      </c>
      <c r="D42" s="5" t="str">
        <f t="shared" si="16"/>
        <v>6-3</v>
      </c>
      <c r="E42" t="s">
        <v>67</v>
      </c>
      <c r="F42">
        <v>6</v>
      </c>
      <c r="G42">
        <v>13713</v>
      </c>
      <c r="H42">
        <v>13971</v>
      </c>
      <c r="I42">
        <v>2677</v>
      </c>
      <c r="J42">
        <v>2677</v>
      </c>
      <c r="K42">
        <v>767</v>
      </c>
      <c r="L42">
        <v>925</v>
      </c>
      <c r="AC42">
        <f t="shared" si="2"/>
        <v>27684</v>
      </c>
      <c r="AD42">
        <f t="shared" si="3"/>
        <v>7046</v>
      </c>
      <c r="AE42">
        <f t="shared" si="4"/>
        <v>7046</v>
      </c>
      <c r="AF42">
        <f t="shared" si="5"/>
        <v>1692</v>
      </c>
      <c r="AG42">
        <f t="shared" si="6"/>
        <v>0.25451524346192744</v>
      </c>
      <c r="AH42">
        <f t="shared" si="7"/>
        <v>6.1118335500650198E-2</v>
      </c>
      <c r="AI42">
        <f t="shared" si="8"/>
        <v>4.9123214493090234E-2</v>
      </c>
      <c r="AJ42">
        <f t="shared" si="9"/>
        <v>0.20456392985715946</v>
      </c>
      <c r="AK42">
        <v>17157</v>
      </c>
      <c r="AL42">
        <v>17287</v>
      </c>
      <c r="AM42">
        <v>34444</v>
      </c>
      <c r="AN42" t="s">
        <v>43</v>
      </c>
      <c r="AO42">
        <v>0</v>
      </c>
    </row>
    <row r="43" spans="1:41" x14ac:dyDescent="0.2">
      <c r="A43" t="s">
        <v>92</v>
      </c>
      <c r="B43" s="4" t="str">
        <f t="shared" si="0"/>
        <v>6-3-4</v>
      </c>
      <c r="C43" t="s">
        <v>89</v>
      </c>
      <c r="D43" s="5" t="str">
        <f t="shared" si="16"/>
        <v>6-3</v>
      </c>
      <c r="E43" t="s">
        <v>67</v>
      </c>
      <c r="F43">
        <v>6</v>
      </c>
      <c r="G43">
        <v>30156</v>
      </c>
      <c r="H43">
        <v>33789</v>
      </c>
      <c r="I43">
        <v>333</v>
      </c>
      <c r="J43">
        <v>357</v>
      </c>
      <c r="K43">
        <v>1367</v>
      </c>
      <c r="L43">
        <v>1476</v>
      </c>
      <c r="S43">
        <v>66</v>
      </c>
      <c r="T43">
        <v>63</v>
      </c>
      <c r="AC43">
        <f t="shared" si="2"/>
        <v>63945</v>
      </c>
      <c r="AD43">
        <f t="shared" si="3"/>
        <v>3662</v>
      </c>
      <c r="AE43">
        <f t="shared" si="4"/>
        <v>3662</v>
      </c>
      <c r="AF43">
        <f t="shared" si="5"/>
        <v>2843</v>
      </c>
      <c r="AG43">
        <f t="shared" si="6"/>
        <v>5.7267964657127218E-2</v>
      </c>
      <c r="AH43">
        <f t="shared" si="7"/>
        <v>4.4460082883728207E-2</v>
      </c>
      <c r="AI43">
        <f t="shared" si="8"/>
        <v>4.2051858535358762E-2</v>
      </c>
      <c r="AJ43">
        <f t="shared" si="9"/>
        <v>5.4165988728977765E-2</v>
      </c>
      <c r="AK43">
        <v>31922</v>
      </c>
      <c r="AL43">
        <v>35685</v>
      </c>
      <c r="AM43">
        <v>67607</v>
      </c>
      <c r="AN43" t="s">
        <v>43</v>
      </c>
      <c r="AO43">
        <v>0</v>
      </c>
    </row>
    <row r="44" spans="1:41" x14ac:dyDescent="0.2">
      <c r="A44" t="s">
        <v>93</v>
      </c>
      <c r="B44" s="4" t="str">
        <f t="shared" si="0"/>
        <v>6-3-5</v>
      </c>
      <c r="C44" t="s">
        <v>89</v>
      </c>
      <c r="D44" s="5" t="str">
        <f t="shared" si="16"/>
        <v>6-3</v>
      </c>
      <c r="E44" t="s">
        <v>67</v>
      </c>
      <c r="F44">
        <v>6</v>
      </c>
      <c r="G44">
        <v>22239</v>
      </c>
      <c r="H44">
        <v>22878</v>
      </c>
      <c r="I44">
        <v>564</v>
      </c>
      <c r="J44">
        <v>592</v>
      </c>
      <c r="K44">
        <v>4134</v>
      </c>
      <c r="L44">
        <v>4325</v>
      </c>
      <c r="S44">
        <v>111</v>
      </c>
      <c r="T44">
        <v>96</v>
      </c>
      <c r="AC44">
        <f t="shared" si="2"/>
        <v>45117</v>
      </c>
      <c r="AD44">
        <f t="shared" si="3"/>
        <v>9822</v>
      </c>
      <c r="AE44">
        <f t="shared" si="4"/>
        <v>9822</v>
      </c>
      <c r="AF44">
        <f t="shared" si="5"/>
        <v>8459</v>
      </c>
      <c r="AG44">
        <f t="shared" si="6"/>
        <v>0.21770064498969346</v>
      </c>
      <c r="AH44">
        <f t="shared" si="7"/>
        <v>0.18749030299000377</v>
      </c>
      <c r="AI44">
        <f t="shared" si="8"/>
        <v>0.15397076757858716</v>
      </c>
      <c r="AJ44">
        <f t="shared" si="9"/>
        <v>0.17878010156719271</v>
      </c>
      <c r="AK44">
        <v>27048</v>
      </c>
      <c r="AL44">
        <v>27891</v>
      </c>
      <c r="AM44">
        <v>54939</v>
      </c>
      <c r="AN44" t="s">
        <v>43</v>
      </c>
      <c r="AO44">
        <v>1</v>
      </c>
    </row>
    <row r="45" spans="1:41" x14ac:dyDescent="0.2">
      <c r="A45" t="s">
        <v>94</v>
      </c>
      <c r="B45" s="4" t="str">
        <f t="shared" si="0"/>
        <v>9-3-1</v>
      </c>
      <c r="C45" t="s">
        <v>95</v>
      </c>
      <c r="D45" s="5" t="str">
        <f t="shared" si="16"/>
        <v>9-3</v>
      </c>
      <c r="E45" t="s">
        <v>96</v>
      </c>
      <c r="F45">
        <v>9</v>
      </c>
      <c r="G45">
        <v>30399</v>
      </c>
      <c r="H45">
        <v>31815</v>
      </c>
      <c r="I45">
        <v>2585</v>
      </c>
      <c r="J45">
        <v>3058</v>
      </c>
      <c r="K45">
        <v>124</v>
      </c>
      <c r="L45">
        <v>132</v>
      </c>
      <c r="O45">
        <v>80</v>
      </c>
      <c r="P45">
        <v>58</v>
      </c>
      <c r="Q45">
        <v>941</v>
      </c>
      <c r="R45">
        <v>954</v>
      </c>
      <c r="AC45">
        <f t="shared" si="2"/>
        <v>62214</v>
      </c>
      <c r="AD45">
        <f t="shared" si="3"/>
        <v>6037</v>
      </c>
      <c r="AE45">
        <f t="shared" si="4"/>
        <v>7932</v>
      </c>
      <c r="AF45">
        <f t="shared" si="5"/>
        <v>256</v>
      </c>
      <c r="AG45">
        <f t="shared" si="6"/>
        <v>9.7036036904876721E-2</v>
      </c>
      <c r="AH45">
        <f t="shared" si="7"/>
        <v>4.1148294596071626E-3</v>
      </c>
      <c r="AI45">
        <f t="shared" si="8"/>
        <v>3.6495309782453738E-3</v>
      </c>
      <c r="AJ45">
        <f t="shared" si="9"/>
        <v>8.6063353576825471E-2</v>
      </c>
      <c r="AK45">
        <v>34139</v>
      </c>
      <c r="AL45">
        <v>36017</v>
      </c>
      <c r="AM45">
        <v>70146</v>
      </c>
      <c r="AN45" t="s">
        <v>43</v>
      </c>
      <c r="AO45">
        <v>1</v>
      </c>
    </row>
    <row r="46" spans="1:41" x14ac:dyDescent="0.2">
      <c r="A46" t="s">
        <v>97</v>
      </c>
      <c r="B46" s="4" t="str">
        <f t="shared" si="0"/>
        <v>9-3-2</v>
      </c>
      <c r="C46" t="s">
        <v>95</v>
      </c>
      <c r="D46" s="5" t="str">
        <f t="shared" si="16"/>
        <v>9-3</v>
      </c>
      <c r="E46" t="s">
        <v>96</v>
      </c>
      <c r="F46">
        <v>9</v>
      </c>
      <c r="G46">
        <v>13808</v>
      </c>
      <c r="H46">
        <v>13887</v>
      </c>
      <c r="I46">
        <v>16</v>
      </c>
      <c r="J46">
        <v>50</v>
      </c>
      <c r="K46">
        <v>5</v>
      </c>
      <c r="L46">
        <v>3</v>
      </c>
      <c r="Q46">
        <v>6</v>
      </c>
      <c r="R46">
        <v>5</v>
      </c>
      <c r="AC46">
        <f t="shared" si="2"/>
        <v>27695</v>
      </c>
      <c r="AD46">
        <f t="shared" si="3"/>
        <v>74</v>
      </c>
      <c r="AE46">
        <f t="shared" si="4"/>
        <v>85</v>
      </c>
      <c r="AF46">
        <f t="shared" si="5"/>
        <v>8</v>
      </c>
      <c r="AG46">
        <f t="shared" si="6"/>
        <v>2.6719624480953242E-3</v>
      </c>
      <c r="AH46">
        <f t="shared" si="7"/>
        <v>2.8886080519949448E-4</v>
      </c>
      <c r="AI46">
        <f t="shared" si="8"/>
        <v>2.8797696184305253E-4</v>
      </c>
      <c r="AJ46">
        <f t="shared" si="9"/>
        <v>2.6637868970482361E-3</v>
      </c>
      <c r="AK46">
        <v>13835</v>
      </c>
      <c r="AL46">
        <v>13945</v>
      </c>
      <c r="AM46">
        <v>27780</v>
      </c>
      <c r="AN46" t="s">
        <v>43</v>
      </c>
      <c r="AO46">
        <v>0</v>
      </c>
    </row>
    <row r="47" spans="1:41" x14ac:dyDescent="0.2">
      <c r="A47" t="s">
        <v>98</v>
      </c>
      <c r="B47" s="4" t="str">
        <f t="shared" si="0"/>
        <v>9-3-3</v>
      </c>
      <c r="C47" t="s">
        <v>95</v>
      </c>
      <c r="D47" s="5" t="str">
        <f t="shared" si="16"/>
        <v>9-3</v>
      </c>
      <c r="E47" t="s">
        <v>96</v>
      </c>
      <c r="F47">
        <v>9</v>
      </c>
      <c r="G47">
        <v>12809</v>
      </c>
      <c r="H47">
        <v>12443</v>
      </c>
      <c r="I47">
        <v>159</v>
      </c>
      <c r="J47">
        <v>131</v>
      </c>
      <c r="AC47">
        <f t="shared" si="2"/>
        <v>25252</v>
      </c>
      <c r="AD47">
        <f t="shared" si="3"/>
        <v>290</v>
      </c>
      <c r="AE47">
        <f t="shared" si="4"/>
        <v>290</v>
      </c>
      <c r="AF47">
        <f t="shared" si="5"/>
        <v>0</v>
      </c>
      <c r="AG47">
        <f t="shared" si="6"/>
        <v>1.1484238872168541E-2</v>
      </c>
      <c r="AH47">
        <f t="shared" si="7"/>
        <v>0</v>
      </c>
      <c r="AI47">
        <f t="shared" si="8"/>
        <v>0</v>
      </c>
      <c r="AJ47">
        <f t="shared" si="9"/>
        <v>1.1353848563150888E-2</v>
      </c>
      <c r="AK47">
        <v>12968</v>
      </c>
      <c r="AL47">
        <v>12574</v>
      </c>
      <c r="AM47">
        <v>25542</v>
      </c>
      <c r="AN47" t="s">
        <v>43</v>
      </c>
      <c r="AO47">
        <v>0</v>
      </c>
    </row>
    <row r="48" spans="1:41" x14ac:dyDescent="0.2">
      <c r="A48" t="s">
        <v>99</v>
      </c>
      <c r="B48" s="4" t="str">
        <f t="shared" si="0"/>
        <v>9-3-4</v>
      </c>
      <c r="C48" t="s">
        <v>95</v>
      </c>
      <c r="D48" s="5" t="str">
        <f t="shared" si="16"/>
        <v>9-3</v>
      </c>
      <c r="E48" t="s">
        <v>96</v>
      </c>
      <c r="F48">
        <v>9</v>
      </c>
      <c r="G48">
        <v>30141</v>
      </c>
      <c r="H48">
        <v>29815</v>
      </c>
      <c r="I48">
        <v>959</v>
      </c>
      <c r="J48">
        <v>1069</v>
      </c>
      <c r="K48">
        <v>149</v>
      </c>
      <c r="L48">
        <v>152</v>
      </c>
      <c r="Q48">
        <v>100</v>
      </c>
      <c r="R48">
        <v>95</v>
      </c>
      <c r="AC48">
        <f t="shared" si="2"/>
        <v>59956</v>
      </c>
      <c r="AD48">
        <f t="shared" si="3"/>
        <v>2329</v>
      </c>
      <c r="AE48">
        <f t="shared" si="4"/>
        <v>2524</v>
      </c>
      <c r="AF48">
        <f t="shared" si="5"/>
        <v>301</v>
      </c>
      <c r="AG48">
        <f t="shared" si="6"/>
        <v>3.8845153112282343E-2</v>
      </c>
      <c r="AH48">
        <f t="shared" si="7"/>
        <v>5.0203482553872842E-3</v>
      </c>
      <c r="AI48">
        <f t="shared" si="8"/>
        <v>4.8175416133162613E-3</v>
      </c>
      <c r="AJ48">
        <f t="shared" si="9"/>
        <v>3.7275928297055061E-2</v>
      </c>
      <c r="AK48">
        <v>31349</v>
      </c>
      <c r="AL48">
        <v>31131</v>
      </c>
      <c r="AM48">
        <v>62480</v>
      </c>
      <c r="AN48" t="s">
        <v>43</v>
      </c>
      <c r="AO48">
        <v>0</v>
      </c>
    </row>
    <row r="49" spans="1:41" x14ac:dyDescent="0.2">
      <c r="A49" t="s">
        <v>100</v>
      </c>
      <c r="B49" s="4" t="str">
        <f t="shared" si="0"/>
        <v>9-3-5</v>
      </c>
      <c r="C49" t="s">
        <v>95</v>
      </c>
      <c r="D49" s="5" t="str">
        <f t="shared" si="16"/>
        <v>9-3</v>
      </c>
      <c r="E49" t="s">
        <v>96</v>
      </c>
      <c r="F49">
        <v>9</v>
      </c>
      <c r="G49">
        <v>6919</v>
      </c>
      <c r="H49">
        <v>7195</v>
      </c>
      <c r="I49">
        <v>4019</v>
      </c>
      <c r="J49">
        <v>4156</v>
      </c>
      <c r="K49">
        <v>25</v>
      </c>
      <c r="L49">
        <v>34</v>
      </c>
      <c r="AC49">
        <f t="shared" si="2"/>
        <v>14114</v>
      </c>
      <c r="AD49">
        <f t="shared" si="3"/>
        <v>8234</v>
      </c>
      <c r="AE49">
        <f t="shared" si="4"/>
        <v>8234</v>
      </c>
      <c r="AF49">
        <f t="shared" si="5"/>
        <v>59</v>
      </c>
      <c r="AG49">
        <f t="shared" si="6"/>
        <v>0.58339237636389396</v>
      </c>
      <c r="AH49">
        <f t="shared" si="7"/>
        <v>4.1802465636956217E-3</v>
      </c>
      <c r="AI49">
        <f t="shared" si="8"/>
        <v>2.6400572758188651E-3</v>
      </c>
      <c r="AJ49">
        <f t="shared" si="9"/>
        <v>0.36844460354394132</v>
      </c>
      <c r="AK49">
        <v>10963</v>
      </c>
      <c r="AL49">
        <v>11385</v>
      </c>
      <c r="AM49">
        <v>22348</v>
      </c>
      <c r="AN49" t="s">
        <v>43</v>
      </c>
      <c r="AO49">
        <v>0</v>
      </c>
    </row>
    <row r="50" spans="1:41" x14ac:dyDescent="0.2">
      <c r="A50" t="s">
        <v>101</v>
      </c>
      <c r="B50" s="4" t="str">
        <f t="shared" si="0"/>
        <v>9-5-1</v>
      </c>
      <c r="C50" t="s">
        <v>102</v>
      </c>
      <c r="D50" s="5" t="str">
        <f t="shared" ref="D50:D55" si="17">F50&amp;"-"&amp;5</f>
        <v>9-5</v>
      </c>
      <c r="E50" t="s">
        <v>96</v>
      </c>
      <c r="F50">
        <v>9</v>
      </c>
      <c r="G50">
        <v>12660</v>
      </c>
      <c r="H50">
        <v>12855</v>
      </c>
      <c r="J50">
        <v>4</v>
      </c>
      <c r="AC50">
        <f t="shared" si="2"/>
        <v>25515</v>
      </c>
      <c r="AD50">
        <f t="shared" si="3"/>
        <v>4</v>
      </c>
      <c r="AE50">
        <f t="shared" si="4"/>
        <v>4</v>
      </c>
      <c r="AF50">
        <f t="shared" si="5"/>
        <v>0</v>
      </c>
      <c r="AG50">
        <f t="shared" si="6"/>
        <v>1.5677052714089751E-4</v>
      </c>
      <c r="AH50">
        <f t="shared" si="7"/>
        <v>0</v>
      </c>
      <c r="AI50">
        <f t="shared" si="8"/>
        <v>0</v>
      </c>
      <c r="AJ50">
        <f t="shared" si="9"/>
        <v>1.5675209655929148E-4</v>
      </c>
      <c r="AK50">
        <v>12660</v>
      </c>
      <c r="AL50">
        <v>12859</v>
      </c>
      <c r="AM50">
        <v>25518</v>
      </c>
      <c r="AN50" t="s">
        <v>43</v>
      </c>
      <c r="AO50">
        <v>0</v>
      </c>
    </row>
    <row r="51" spans="1:41" x14ac:dyDescent="0.2">
      <c r="A51" t="s">
        <v>103</v>
      </c>
      <c r="B51" s="4" t="str">
        <f t="shared" si="0"/>
        <v>9-5-2</v>
      </c>
      <c r="C51" t="s">
        <v>102</v>
      </c>
      <c r="D51" s="5" t="str">
        <f t="shared" si="17"/>
        <v>9-5</v>
      </c>
      <c r="E51" t="s">
        <v>96</v>
      </c>
      <c r="F51">
        <v>9</v>
      </c>
      <c r="G51">
        <v>21335</v>
      </c>
      <c r="H51">
        <v>20823</v>
      </c>
      <c r="I51">
        <v>18</v>
      </c>
      <c r="J51">
        <v>139</v>
      </c>
      <c r="N51">
        <v>1</v>
      </c>
      <c r="AC51">
        <f t="shared" si="2"/>
        <v>42158</v>
      </c>
      <c r="AD51">
        <f t="shared" si="3"/>
        <v>158</v>
      </c>
      <c r="AE51">
        <f t="shared" si="4"/>
        <v>158</v>
      </c>
      <c r="AF51">
        <f t="shared" si="5"/>
        <v>0</v>
      </c>
      <c r="AG51">
        <f t="shared" si="6"/>
        <v>3.7478058731438874E-3</v>
      </c>
      <c r="AH51">
        <f t="shared" si="7"/>
        <v>0</v>
      </c>
      <c r="AI51">
        <f t="shared" si="8"/>
        <v>0</v>
      </c>
      <c r="AJ51">
        <f t="shared" si="9"/>
        <v>3.7338122695906987E-3</v>
      </c>
      <c r="AK51">
        <v>21353</v>
      </c>
      <c r="AL51">
        <v>20963</v>
      </c>
      <c r="AM51">
        <v>42316</v>
      </c>
      <c r="AN51" t="s">
        <v>43</v>
      </c>
      <c r="AO51">
        <v>0</v>
      </c>
    </row>
    <row r="52" spans="1:41" x14ac:dyDescent="0.2">
      <c r="A52" t="s">
        <v>104</v>
      </c>
      <c r="B52" s="4" t="str">
        <f t="shared" si="0"/>
        <v>9-5-3</v>
      </c>
      <c r="C52" t="s">
        <v>102</v>
      </c>
      <c r="D52" s="5" t="str">
        <f t="shared" si="17"/>
        <v>9-5</v>
      </c>
      <c r="E52" t="s">
        <v>96</v>
      </c>
      <c r="F52">
        <v>9</v>
      </c>
      <c r="G52">
        <v>16902</v>
      </c>
      <c r="H52">
        <v>16512</v>
      </c>
      <c r="I52">
        <v>856</v>
      </c>
      <c r="J52">
        <v>902</v>
      </c>
      <c r="K52">
        <v>250</v>
      </c>
      <c r="L52">
        <v>251</v>
      </c>
      <c r="N52">
        <v>1</v>
      </c>
      <c r="AA52">
        <v>8</v>
      </c>
      <c r="AB52">
        <v>15</v>
      </c>
      <c r="AC52">
        <f t="shared" si="2"/>
        <v>33414</v>
      </c>
      <c r="AD52">
        <f t="shared" si="3"/>
        <v>2260</v>
      </c>
      <c r="AE52">
        <f t="shared" si="4"/>
        <v>2260</v>
      </c>
      <c r="AF52">
        <f t="shared" si="5"/>
        <v>501</v>
      </c>
      <c r="AG52">
        <f t="shared" si="6"/>
        <v>6.7636320105345066E-2</v>
      </c>
      <c r="AH52">
        <f t="shared" si="7"/>
        <v>1.499371520919375E-2</v>
      </c>
      <c r="AI52">
        <f t="shared" si="8"/>
        <v>1.4034792839734432E-2</v>
      </c>
      <c r="AJ52">
        <f t="shared" si="9"/>
        <v>6.3310642350897839E-2</v>
      </c>
      <c r="AK52">
        <v>18016</v>
      </c>
      <c r="AL52">
        <v>17681</v>
      </c>
      <c r="AM52">
        <v>35697</v>
      </c>
      <c r="AN52" t="s">
        <v>43</v>
      </c>
      <c r="AO52">
        <v>1</v>
      </c>
    </row>
    <row r="53" spans="1:41" x14ac:dyDescent="0.2">
      <c r="A53" t="s">
        <v>105</v>
      </c>
      <c r="B53" s="4" t="str">
        <f t="shared" si="0"/>
        <v>9-5-4</v>
      </c>
      <c r="C53" t="s">
        <v>102</v>
      </c>
      <c r="D53" s="5" t="str">
        <f t="shared" si="17"/>
        <v>9-5</v>
      </c>
      <c r="E53" t="s">
        <v>96</v>
      </c>
      <c r="F53">
        <v>9</v>
      </c>
      <c r="G53">
        <v>18459</v>
      </c>
      <c r="H53">
        <v>19058</v>
      </c>
      <c r="AC53">
        <f t="shared" si="2"/>
        <v>37517</v>
      </c>
      <c r="AD53">
        <f t="shared" si="3"/>
        <v>0</v>
      </c>
      <c r="AE53">
        <f t="shared" si="4"/>
        <v>0</v>
      </c>
      <c r="AF53">
        <f t="shared" si="5"/>
        <v>0</v>
      </c>
      <c r="AG53">
        <f t="shared" si="6"/>
        <v>0</v>
      </c>
      <c r="AH53">
        <f t="shared" si="7"/>
        <v>0</v>
      </c>
      <c r="AI53">
        <f t="shared" si="8"/>
        <v>0</v>
      </c>
      <c r="AJ53">
        <f t="shared" si="9"/>
        <v>0</v>
      </c>
      <c r="AK53">
        <v>18459</v>
      </c>
      <c r="AL53">
        <v>19058</v>
      </c>
      <c r="AM53">
        <v>37517</v>
      </c>
      <c r="AN53" t="s">
        <v>43</v>
      </c>
      <c r="AO53">
        <v>0</v>
      </c>
    </row>
    <row r="54" spans="1:41" x14ac:dyDescent="0.2">
      <c r="A54" t="s">
        <v>106</v>
      </c>
      <c r="B54" s="4" t="str">
        <f t="shared" si="0"/>
        <v>9-5-5</v>
      </c>
      <c r="C54" t="s">
        <v>102</v>
      </c>
      <c r="D54" s="5" t="str">
        <f t="shared" si="17"/>
        <v>9-5</v>
      </c>
      <c r="E54" t="s">
        <v>96</v>
      </c>
      <c r="F54">
        <v>9</v>
      </c>
      <c r="G54">
        <v>8680</v>
      </c>
      <c r="H54">
        <v>9325</v>
      </c>
      <c r="I54">
        <v>271</v>
      </c>
      <c r="J54">
        <v>343</v>
      </c>
      <c r="AC54">
        <f t="shared" si="2"/>
        <v>18005</v>
      </c>
      <c r="AD54">
        <f t="shared" si="3"/>
        <v>614</v>
      </c>
      <c r="AE54">
        <f t="shared" si="4"/>
        <v>614</v>
      </c>
      <c r="AF54">
        <f t="shared" si="5"/>
        <v>0</v>
      </c>
      <c r="AG54">
        <f t="shared" si="6"/>
        <v>3.41016384337684E-2</v>
      </c>
      <c r="AH54">
        <f t="shared" si="7"/>
        <v>0</v>
      </c>
      <c r="AI54">
        <f t="shared" si="8"/>
        <v>0</v>
      </c>
      <c r="AJ54">
        <f t="shared" si="9"/>
        <v>3.3155137966412875E-2</v>
      </c>
      <c r="AK54">
        <v>8951</v>
      </c>
      <c r="AL54">
        <v>9568</v>
      </c>
      <c r="AM54">
        <v>18519</v>
      </c>
      <c r="AN54" t="s">
        <v>43</v>
      </c>
      <c r="AO54">
        <v>0</v>
      </c>
    </row>
    <row r="55" spans="1:41" x14ac:dyDescent="0.2">
      <c r="A55" t="s">
        <v>107</v>
      </c>
      <c r="B55" s="4" t="str">
        <f t="shared" si="0"/>
        <v>9-5-6</v>
      </c>
      <c r="C55" t="s">
        <v>102</v>
      </c>
      <c r="D55" s="5" t="str">
        <f t="shared" si="17"/>
        <v>9-5</v>
      </c>
      <c r="E55" t="s">
        <v>96</v>
      </c>
      <c r="F55">
        <v>9</v>
      </c>
      <c r="G55">
        <v>26430</v>
      </c>
      <c r="H55">
        <v>26466</v>
      </c>
      <c r="I55">
        <v>1</v>
      </c>
      <c r="J55">
        <v>28</v>
      </c>
      <c r="AC55">
        <f t="shared" si="2"/>
        <v>52896</v>
      </c>
      <c r="AD55">
        <f t="shared" si="3"/>
        <v>29</v>
      </c>
      <c r="AE55">
        <f t="shared" si="4"/>
        <v>29</v>
      </c>
      <c r="AF55">
        <f t="shared" si="5"/>
        <v>0</v>
      </c>
      <c r="AG55">
        <f t="shared" si="6"/>
        <v>5.4824561403508769E-4</v>
      </c>
      <c r="AH55">
        <f t="shared" si="7"/>
        <v>0</v>
      </c>
      <c r="AI55">
        <f t="shared" si="8"/>
        <v>0</v>
      </c>
      <c r="AJ55">
        <f t="shared" si="9"/>
        <v>5.3778395920259616E-4</v>
      </c>
      <c r="AK55">
        <v>26431</v>
      </c>
      <c r="AL55">
        <v>26494</v>
      </c>
      <c r="AM55">
        <v>53925</v>
      </c>
      <c r="AN55" t="s">
        <v>43</v>
      </c>
      <c r="AO55">
        <v>0</v>
      </c>
    </row>
    <row r="56" spans="1:41" x14ac:dyDescent="0.2">
      <c r="A56" s="6" t="s">
        <v>108</v>
      </c>
      <c r="B56" s="4" t="str">
        <f t="shared" si="0"/>
        <v>9-1-1</v>
      </c>
      <c r="C56" t="s">
        <v>109</v>
      </c>
      <c r="D56" s="5" t="str">
        <f t="shared" ref="D56:D66" si="18">F56&amp;"-"&amp;1</f>
        <v>9-1</v>
      </c>
      <c r="E56" t="s">
        <v>96</v>
      </c>
      <c r="F56">
        <v>9</v>
      </c>
      <c r="G56">
        <v>8840</v>
      </c>
      <c r="H56">
        <v>9052</v>
      </c>
      <c r="I56">
        <v>1439</v>
      </c>
      <c r="J56">
        <v>1690</v>
      </c>
      <c r="K56">
        <v>87</v>
      </c>
      <c r="L56">
        <v>90</v>
      </c>
      <c r="N56">
        <v>1</v>
      </c>
      <c r="Q56">
        <v>18</v>
      </c>
      <c r="R56">
        <v>13</v>
      </c>
      <c r="S56">
        <v>14</v>
      </c>
      <c r="T56">
        <v>11</v>
      </c>
      <c r="AC56">
        <f t="shared" si="2"/>
        <v>17892</v>
      </c>
      <c r="AD56">
        <f t="shared" si="3"/>
        <v>3332</v>
      </c>
      <c r="AE56">
        <f t="shared" si="4"/>
        <v>3363</v>
      </c>
      <c r="AF56">
        <f t="shared" si="5"/>
        <v>177</v>
      </c>
      <c r="AG56">
        <f t="shared" si="6"/>
        <v>0.18622848200312989</v>
      </c>
      <c r="AH56">
        <f t="shared" si="7"/>
        <v>9.8926894701542589E-3</v>
      </c>
      <c r="AI56">
        <f t="shared" si="8"/>
        <v>8.3274523641496123E-3</v>
      </c>
      <c r="AJ56">
        <f t="shared" si="9"/>
        <v>0.1567631145612797</v>
      </c>
      <c r="AK56">
        <v>10398</v>
      </c>
      <c r="AL56">
        <v>10857</v>
      </c>
      <c r="AM56">
        <v>21255</v>
      </c>
      <c r="AN56" t="s">
        <v>43</v>
      </c>
      <c r="AO56">
        <v>0</v>
      </c>
    </row>
    <row r="57" spans="1:41" x14ac:dyDescent="0.2">
      <c r="A57" s="6" t="s">
        <v>110</v>
      </c>
      <c r="B57" s="4" t="str">
        <f t="shared" si="0"/>
        <v>9-1-2</v>
      </c>
      <c r="C57" t="s">
        <v>109</v>
      </c>
      <c r="D57" s="5" t="str">
        <f t="shared" si="18"/>
        <v>9-1</v>
      </c>
      <c r="E57" t="s">
        <v>96</v>
      </c>
      <c r="F57">
        <v>9</v>
      </c>
      <c r="G57">
        <v>25574</v>
      </c>
      <c r="H57">
        <v>28230</v>
      </c>
      <c r="I57">
        <v>4676</v>
      </c>
      <c r="J57">
        <v>5574</v>
      </c>
      <c r="K57">
        <v>399</v>
      </c>
      <c r="L57">
        <v>410</v>
      </c>
      <c r="M57">
        <v>116</v>
      </c>
      <c r="N57">
        <v>142</v>
      </c>
      <c r="Q57">
        <v>252</v>
      </c>
      <c r="R57">
        <v>243</v>
      </c>
      <c r="AA57">
        <v>24</v>
      </c>
      <c r="AB57">
        <v>52</v>
      </c>
      <c r="AC57">
        <f t="shared" si="2"/>
        <v>53804</v>
      </c>
      <c r="AD57">
        <f t="shared" si="3"/>
        <v>11317</v>
      </c>
      <c r="AE57">
        <f t="shared" si="4"/>
        <v>11812</v>
      </c>
      <c r="AF57">
        <f t="shared" si="5"/>
        <v>809</v>
      </c>
      <c r="AG57">
        <f t="shared" si="6"/>
        <v>0.21033752137387554</v>
      </c>
      <c r="AH57">
        <f t="shared" si="7"/>
        <v>1.5036056798751023E-2</v>
      </c>
      <c r="AI57">
        <f t="shared" si="8"/>
        <v>1.2315045972112281E-2</v>
      </c>
      <c r="AJ57">
        <f t="shared" si="9"/>
        <v>0.17227364062595141</v>
      </c>
      <c r="AK57">
        <v>31041</v>
      </c>
      <c r="AL57">
        <v>34651</v>
      </c>
      <c r="AM57">
        <v>65692</v>
      </c>
      <c r="AN57" t="s">
        <v>43</v>
      </c>
      <c r="AO57">
        <v>0</v>
      </c>
    </row>
    <row r="58" spans="1:41" x14ac:dyDescent="0.2">
      <c r="A58" s="6" t="s">
        <v>111</v>
      </c>
      <c r="B58" s="4" t="str">
        <f t="shared" si="0"/>
        <v>9-1-3</v>
      </c>
      <c r="C58" t="s">
        <v>109</v>
      </c>
      <c r="D58" s="5" t="str">
        <f t="shared" si="18"/>
        <v>9-1</v>
      </c>
      <c r="E58" t="s">
        <v>96</v>
      </c>
      <c r="F58">
        <v>9</v>
      </c>
      <c r="G58">
        <v>1770</v>
      </c>
      <c r="H58">
        <v>1907</v>
      </c>
      <c r="I58">
        <v>12981</v>
      </c>
      <c r="J58">
        <v>13845</v>
      </c>
      <c r="Q58">
        <v>54</v>
      </c>
      <c r="R58">
        <v>69</v>
      </c>
      <c r="AA58">
        <v>33</v>
      </c>
      <c r="AB58">
        <v>43</v>
      </c>
      <c r="AC58">
        <f t="shared" si="2"/>
        <v>3677</v>
      </c>
      <c r="AD58">
        <f t="shared" si="3"/>
        <v>26826</v>
      </c>
      <c r="AE58">
        <f t="shared" si="4"/>
        <v>26949</v>
      </c>
      <c r="AF58">
        <f t="shared" si="5"/>
        <v>0</v>
      </c>
      <c r="AG58">
        <f t="shared" si="6"/>
        <v>7.2956214305140064</v>
      </c>
      <c r="AH58">
        <f t="shared" si="7"/>
        <v>0</v>
      </c>
      <c r="AI58">
        <f t="shared" si="8"/>
        <v>0</v>
      </c>
      <c r="AJ58">
        <f t="shared" si="9"/>
        <v>0.87375415282392022</v>
      </c>
      <c r="AK58">
        <v>14838</v>
      </c>
      <c r="AL58">
        <v>15864</v>
      </c>
      <c r="AM58">
        <v>30702</v>
      </c>
      <c r="AN58" t="s">
        <v>43</v>
      </c>
      <c r="AO58">
        <v>0</v>
      </c>
    </row>
    <row r="59" spans="1:41" x14ac:dyDescent="0.2">
      <c r="A59" t="s">
        <v>112</v>
      </c>
      <c r="B59" s="4" t="str">
        <f t="shared" si="0"/>
        <v>9-1-4</v>
      </c>
      <c r="C59" t="s">
        <v>109</v>
      </c>
      <c r="D59" s="5" t="str">
        <f t="shared" si="18"/>
        <v>9-1</v>
      </c>
      <c r="E59" t="s">
        <v>96</v>
      </c>
      <c r="F59">
        <v>9</v>
      </c>
      <c r="G59">
        <v>1703</v>
      </c>
      <c r="H59">
        <v>2059</v>
      </c>
      <c r="I59">
        <v>5023</v>
      </c>
      <c r="J59">
        <v>5573</v>
      </c>
      <c r="K59">
        <v>13</v>
      </c>
      <c r="L59">
        <v>34</v>
      </c>
      <c r="M59">
        <v>1</v>
      </c>
      <c r="N59">
        <v>45</v>
      </c>
      <c r="Q59">
        <v>53</v>
      </c>
      <c r="R59">
        <v>44</v>
      </c>
      <c r="AA59">
        <v>1374</v>
      </c>
      <c r="AB59">
        <v>1399</v>
      </c>
      <c r="AC59">
        <f t="shared" si="2"/>
        <v>3762</v>
      </c>
      <c r="AD59">
        <f t="shared" si="3"/>
        <v>10689</v>
      </c>
      <c r="AE59">
        <f t="shared" si="4"/>
        <v>10786</v>
      </c>
      <c r="AF59">
        <f t="shared" si="5"/>
        <v>47</v>
      </c>
      <c r="AG59">
        <f t="shared" si="6"/>
        <v>2.8413078149920254</v>
      </c>
      <c r="AH59">
        <f t="shared" si="7"/>
        <v>1.2493354598617756E-2</v>
      </c>
      <c r="AI59">
        <f t="shared" si="8"/>
        <v>2.7134691992379192E-3</v>
      </c>
      <c r="AJ59">
        <f t="shared" si="9"/>
        <v>0.61711217597136425</v>
      </c>
      <c r="AK59">
        <v>8167</v>
      </c>
      <c r="AL59">
        <v>9154</v>
      </c>
      <c r="AM59">
        <v>17321</v>
      </c>
      <c r="AN59" t="s">
        <v>43</v>
      </c>
      <c r="AO59">
        <v>0</v>
      </c>
    </row>
    <row r="60" spans="1:41" x14ac:dyDescent="0.2">
      <c r="A60" s="6" t="s">
        <v>113</v>
      </c>
      <c r="B60" s="4" t="str">
        <f t="shared" si="0"/>
        <v>9-1-5</v>
      </c>
      <c r="C60" t="s">
        <v>109</v>
      </c>
      <c r="D60" s="5" t="str">
        <f t="shared" si="18"/>
        <v>9-1</v>
      </c>
      <c r="E60" t="s">
        <v>96</v>
      </c>
      <c r="F60">
        <v>9</v>
      </c>
      <c r="G60">
        <v>34566</v>
      </c>
      <c r="H60">
        <v>44722</v>
      </c>
      <c r="I60">
        <v>24028</v>
      </c>
      <c r="J60">
        <v>29058</v>
      </c>
      <c r="K60">
        <v>3151</v>
      </c>
      <c r="L60">
        <v>3659</v>
      </c>
      <c r="N60">
        <v>20</v>
      </c>
      <c r="O60">
        <v>372</v>
      </c>
      <c r="P60">
        <v>365</v>
      </c>
      <c r="Q60">
        <v>7175</v>
      </c>
      <c r="R60">
        <v>7734</v>
      </c>
      <c r="S60">
        <v>63</v>
      </c>
      <c r="T60">
        <v>65</v>
      </c>
      <c r="U60">
        <v>464</v>
      </c>
      <c r="V60">
        <v>586</v>
      </c>
      <c r="AA60">
        <v>26295</v>
      </c>
      <c r="AB60">
        <v>25225</v>
      </c>
      <c r="AC60">
        <f t="shared" si="2"/>
        <v>79288</v>
      </c>
      <c r="AD60">
        <f t="shared" si="3"/>
        <v>61831</v>
      </c>
      <c r="AE60">
        <f t="shared" si="4"/>
        <v>76740</v>
      </c>
      <c r="AF60">
        <f t="shared" si="5"/>
        <v>6810</v>
      </c>
      <c r="AG60">
        <f t="shared" si="6"/>
        <v>0.77982796892341844</v>
      </c>
      <c r="AH60">
        <f t="shared" si="7"/>
        <v>8.5889415800625563E-2</v>
      </c>
      <c r="AI60">
        <f t="shared" si="8"/>
        <v>3.2811686935070444E-2</v>
      </c>
      <c r="AJ60">
        <f t="shared" si="9"/>
        <v>0.29791180835276659</v>
      </c>
      <c r="AK60">
        <v>96114</v>
      </c>
      <c r="AL60">
        <v>111434</v>
      </c>
      <c r="AM60">
        <v>207548</v>
      </c>
      <c r="AN60" t="s">
        <v>43</v>
      </c>
      <c r="AO60">
        <v>1</v>
      </c>
    </row>
    <row r="61" spans="1:41" x14ac:dyDescent="0.2">
      <c r="A61" s="6" t="s">
        <v>114</v>
      </c>
      <c r="B61" s="4" t="str">
        <f t="shared" si="0"/>
        <v>9-1-6</v>
      </c>
      <c r="C61" t="s">
        <v>109</v>
      </c>
      <c r="D61" s="5" t="str">
        <f t="shared" si="18"/>
        <v>9-1</v>
      </c>
      <c r="E61" t="s">
        <v>96</v>
      </c>
      <c r="F61">
        <v>9</v>
      </c>
      <c r="G61">
        <v>4296</v>
      </c>
      <c r="H61">
        <v>4526</v>
      </c>
      <c r="I61">
        <v>3179</v>
      </c>
      <c r="J61">
        <v>2942</v>
      </c>
      <c r="K61">
        <v>45</v>
      </c>
      <c r="L61">
        <v>42</v>
      </c>
      <c r="N61">
        <v>17</v>
      </c>
      <c r="AC61">
        <f t="shared" si="2"/>
        <v>8822</v>
      </c>
      <c r="AD61">
        <f t="shared" si="3"/>
        <v>6225</v>
      </c>
      <c r="AE61">
        <f t="shared" si="4"/>
        <v>6225</v>
      </c>
      <c r="AF61">
        <f t="shared" si="5"/>
        <v>87</v>
      </c>
      <c r="AG61">
        <f t="shared" si="6"/>
        <v>0.70562230786669689</v>
      </c>
      <c r="AH61">
        <f t="shared" si="7"/>
        <v>9.8617093629562464E-3</v>
      </c>
      <c r="AI61">
        <f t="shared" si="8"/>
        <v>5.7818834319133382E-3</v>
      </c>
      <c r="AJ61">
        <f t="shared" si="9"/>
        <v>0.41370372831793711</v>
      </c>
      <c r="AK61">
        <v>7520</v>
      </c>
      <c r="AL61">
        <v>7527</v>
      </c>
      <c r="AM61">
        <v>15047</v>
      </c>
      <c r="AN61" t="s">
        <v>43</v>
      </c>
      <c r="AO61">
        <v>0</v>
      </c>
    </row>
    <row r="62" spans="1:41" x14ac:dyDescent="0.2">
      <c r="A62" t="s">
        <v>115</v>
      </c>
      <c r="B62" s="4" t="str">
        <f t="shared" si="0"/>
        <v>9-1-7</v>
      </c>
      <c r="C62" t="s">
        <v>109</v>
      </c>
      <c r="D62" s="5" t="str">
        <f t="shared" si="18"/>
        <v>9-1</v>
      </c>
      <c r="E62" t="s">
        <v>96</v>
      </c>
      <c r="F62">
        <v>9</v>
      </c>
      <c r="G62">
        <v>6869</v>
      </c>
      <c r="H62">
        <v>7661</v>
      </c>
      <c r="I62">
        <v>2209</v>
      </c>
      <c r="J62">
        <v>2213</v>
      </c>
      <c r="K62">
        <v>49</v>
      </c>
      <c r="L62">
        <v>57</v>
      </c>
      <c r="Q62">
        <v>128</v>
      </c>
      <c r="R62">
        <v>101</v>
      </c>
      <c r="AA62">
        <v>30</v>
      </c>
      <c r="AB62">
        <v>50</v>
      </c>
      <c r="AC62">
        <f t="shared" si="2"/>
        <v>14530</v>
      </c>
      <c r="AD62">
        <f t="shared" si="3"/>
        <v>4528</v>
      </c>
      <c r="AE62">
        <f t="shared" si="4"/>
        <v>4757</v>
      </c>
      <c r="AF62">
        <f t="shared" si="5"/>
        <v>106</v>
      </c>
      <c r="AG62">
        <f t="shared" si="6"/>
        <v>0.31163110805230559</v>
      </c>
      <c r="AH62">
        <f t="shared" si="7"/>
        <v>7.2952512044046798E-3</v>
      </c>
      <c r="AI62">
        <f t="shared" si="8"/>
        <v>5.4732276552899263E-3</v>
      </c>
      <c r="AJ62">
        <f t="shared" si="9"/>
        <v>0.23379976248257345</v>
      </c>
      <c r="AK62">
        <v>9285</v>
      </c>
      <c r="AL62">
        <v>10082</v>
      </c>
      <c r="AM62">
        <v>19367</v>
      </c>
      <c r="AN62" t="s">
        <v>43</v>
      </c>
      <c r="AO62">
        <v>0</v>
      </c>
    </row>
    <row r="63" spans="1:41" x14ac:dyDescent="0.2">
      <c r="A63" s="6" t="s">
        <v>116</v>
      </c>
      <c r="B63" s="4" t="str">
        <f t="shared" si="0"/>
        <v>9-1-8</v>
      </c>
      <c r="C63" t="s">
        <v>109</v>
      </c>
      <c r="D63" s="5" t="str">
        <f t="shared" si="18"/>
        <v>9-1</v>
      </c>
      <c r="E63" t="s">
        <v>96</v>
      </c>
      <c r="F63">
        <v>9</v>
      </c>
      <c r="G63">
        <v>26833</v>
      </c>
      <c r="H63">
        <v>26984</v>
      </c>
      <c r="I63">
        <v>1773</v>
      </c>
      <c r="J63">
        <v>1937</v>
      </c>
      <c r="K63">
        <v>512</v>
      </c>
      <c r="L63">
        <v>581</v>
      </c>
      <c r="AC63">
        <f t="shared" si="2"/>
        <v>53817</v>
      </c>
      <c r="AD63">
        <f t="shared" si="3"/>
        <v>4803</v>
      </c>
      <c r="AE63">
        <f t="shared" si="4"/>
        <v>4803</v>
      </c>
      <c r="AF63">
        <f t="shared" si="5"/>
        <v>1093</v>
      </c>
      <c r="AG63">
        <f t="shared" si="6"/>
        <v>8.9246892245944592E-2</v>
      </c>
      <c r="AH63">
        <f t="shared" si="7"/>
        <v>2.0309567608748164E-2</v>
      </c>
      <c r="AI63">
        <f t="shared" si="8"/>
        <v>1.8626448534423995E-2</v>
      </c>
      <c r="AJ63">
        <f t="shared" si="9"/>
        <v>8.1850715746421263E-2</v>
      </c>
      <c r="AK63">
        <v>29118</v>
      </c>
      <c r="AL63">
        <v>29562</v>
      </c>
      <c r="AM63">
        <v>58680</v>
      </c>
      <c r="AN63" t="s">
        <v>43</v>
      </c>
      <c r="AO63">
        <v>0</v>
      </c>
    </row>
    <row r="64" spans="1:41" x14ac:dyDescent="0.2">
      <c r="A64" t="s">
        <v>117</v>
      </c>
      <c r="B64" s="4" t="str">
        <f t="shared" si="0"/>
        <v>9-1-9</v>
      </c>
      <c r="C64" t="s">
        <v>109</v>
      </c>
      <c r="D64" s="5" t="str">
        <f t="shared" si="18"/>
        <v>9-1</v>
      </c>
      <c r="E64" t="s">
        <v>96</v>
      </c>
      <c r="F64">
        <v>9</v>
      </c>
      <c r="G64">
        <v>2779</v>
      </c>
      <c r="H64">
        <v>2842</v>
      </c>
      <c r="I64">
        <v>632</v>
      </c>
      <c r="J64">
        <v>660</v>
      </c>
      <c r="K64">
        <v>2</v>
      </c>
      <c r="L64">
        <v>6</v>
      </c>
      <c r="AC64">
        <f t="shared" si="2"/>
        <v>5621</v>
      </c>
      <c r="AD64">
        <f t="shared" si="3"/>
        <v>1300</v>
      </c>
      <c r="AE64">
        <f t="shared" si="4"/>
        <v>1300</v>
      </c>
      <c r="AF64">
        <f t="shared" si="5"/>
        <v>8</v>
      </c>
      <c r="AG64">
        <f t="shared" si="6"/>
        <v>0.23127557374132718</v>
      </c>
      <c r="AH64">
        <f t="shared" si="7"/>
        <v>1.4232342999466287E-3</v>
      </c>
      <c r="AI64">
        <f t="shared" si="8"/>
        <v>1.1559023262534315E-3</v>
      </c>
      <c r="AJ64">
        <f t="shared" si="9"/>
        <v>0.18783412801618263</v>
      </c>
      <c r="AK64">
        <v>3413</v>
      </c>
      <c r="AL64">
        <v>3508</v>
      </c>
      <c r="AM64">
        <v>6921</v>
      </c>
      <c r="AN64" t="s">
        <v>43</v>
      </c>
      <c r="AO64">
        <v>0</v>
      </c>
    </row>
    <row r="65" spans="1:41" x14ac:dyDescent="0.2">
      <c r="A65" s="6" t="s">
        <v>118</v>
      </c>
      <c r="B65" s="4" t="str">
        <f t="shared" si="0"/>
        <v>9-1-10</v>
      </c>
      <c r="C65" t="s">
        <v>109</v>
      </c>
      <c r="D65" s="5" t="str">
        <f t="shared" si="18"/>
        <v>9-1</v>
      </c>
      <c r="E65" t="s">
        <v>96</v>
      </c>
      <c r="F65">
        <v>9</v>
      </c>
      <c r="G65">
        <v>15183</v>
      </c>
      <c r="H65">
        <v>15118</v>
      </c>
      <c r="I65">
        <v>1075</v>
      </c>
      <c r="J65">
        <v>1190</v>
      </c>
      <c r="K65">
        <v>5</v>
      </c>
      <c r="L65">
        <v>7</v>
      </c>
      <c r="M65">
        <v>19</v>
      </c>
      <c r="N65">
        <v>31</v>
      </c>
      <c r="Q65">
        <v>514</v>
      </c>
      <c r="R65">
        <v>515</v>
      </c>
      <c r="AC65">
        <f t="shared" si="2"/>
        <v>30301</v>
      </c>
      <c r="AD65">
        <f t="shared" si="3"/>
        <v>2327</v>
      </c>
      <c r="AE65">
        <f t="shared" si="4"/>
        <v>3356</v>
      </c>
      <c r="AF65">
        <f t="shared" si="5"/>
        <v>12</v>
      </c>
      <c r="AG65">
        <f t="shared" si="6"/>
        <v>7.6796145341737898E-2</v>
      </c>
      <c r="AH65">
        <f t="shared" si="7"/>
        <v>3.960265337777631E-4</v>
      </c>
      <c r="AI65">
        <f t="shared" si="8"/>
        <v>3.5653801586594169E-4</v>
      </c>
      <c r="AJ65">
        <f t="shared" si="9"/>
        <v>6.9138663576670534E-2</v>
      </c>
      <c r="AK65">
        <v>16796</v>
      </c>
      <c r="AL65">
        <v>16861</v>
      </c>
      <c r="AM65">
        <v>33657</v>
      </c>
      <c r="AN65" t="s">
        <v>43</v>
      </c>
      <c r="AO65">
        <v>0</v>
      </c>
    </row>
    <row r="66" spans="1:41" x14ac:dyDescent="0.2">
      <c r="A66" s="6" t="s">
        <v>119</v>
      </c>
      <c r="B66" s="4" t="str">
        <f t="shared" si="0"/>
        <v>9-1-11</v>
      </c>
      <c r="C66" t="s">
        <v>109</v>
      </c>
      <c r="D66" s="5" t="str">
        <f t="shared" si="18"/>
        <v>9-1</v>
      </c>
      <c r="E66" t="s">
        <v>96</v>
      </c>
      <c r="F66">
        <v>9</v>
      </c>
      <c r="G66">
        <v>3973</v>
      </c>
      <c r="H66">
        <v>4143</v>
      </c>
      <c r="I66">
        <v>5919</v>
      </c>
      <c r="J66">
        <v>6135</v>
      </c>
      <c r="K66">
        <v>7</v>
      </c>
      <c r="L66">
        <v>9</v>
      </c>
      <c r="Q66">
        <v>143</v>
      </c>
      <c r="R66">
        <v>140</v>
      </c>
      <c r="AC66">
        <f t="shared" si="2"/>
        <v>8116</v>
      </c>
      <c r="AD66">
        <f t="shared" si="3"/>
        <v>12070</v>
      </c>
      <c r="AE66">
        <f t="shared" si="4"/>
        <v>12353</v>
      </c>
      <c r="AF66">
        <f t="shared" si="5"/>
        <v>16</v>
      </c>
      <c r="AG66">
        <f t="shared" si="6"/>
        <v>1.4871858058156728</v>
      </c>
      <c r="AH66">
        <f t="shared" si="7"/>
        <v>1.9714144898965009E-3</v>
      </c>
      <c r="AI66">
        <f t="shared" si="8"/>
        <v>7.8170803205002929E-4</v>
      </c>
      <c r="AJ66">
        <f t="shared" si="9"/>
        <v>0.5897009966777409</v>
      </c>
      <c r="AK66">
        <v>10427</v>
      </c>
      <c r="AL66">
        <v>10041</v>
      </c>
      <c r="AM66">
        <v>20468</v>
      </c>
      <c r="AN66" t="s">
        <v>43</v>
      </c>
      <c r="AO66">
        <v>0</v>
      </c>
    </row>
    <row r="67" spans="1:41" x14ac:dyDescent="0.2">
      <c r="A67" t="s">
        <v>120</v>
      </c>
      <c r="B67" s="4" t="str">
        <f t="shared" si="0"/>
        <v>9-4-1</v>
      </c>
      <c r="C67" t="s">
        <v>121</v>
      </c>
      <c r="D67" s="5" t="str">
        <f t="shared" ref="D67:D72" si="19">F67&amp;"-"&amp;4</f>
        <v>9-4</v>
      </c>
      <c r="E67" t="s">
        <v>96</v>
      </c>
      <c r="F67">
        <v>9</v>
      </c>
      <c r="G67">
        <v>5732</v>
      </c>
      <c r="H67">
        <v>5819</v>
      </c>
      <c r="I67">
        <v>1112</v>
      </c>
      <c r="J67">
        <v>1133</v>
      </c>
      <c r="Q67">
        <v>45</v>
      </c>
      <c r="R67">
        <v>37</v>
      </c>
      <c r="AC67">
        <f t="shared" si="2"/>
        <v>11551</v>
      </c>
      <c r="AD67">
        <f t="shared" si="3"/>
        <v>2245</v>
      </c>
      <c r="AE67">
        <f t="shared" si="4"/>
        <v>2327</v>
      </c>
      <c r="AF67">
        <f t="shared" si="5"/>
        <v>0</v>
      </c>
      <c r="AG67">
        <f t="shared" si="6"/>
        <v>0.19435546705912907</v>
      </c>
      <c r="AH67">
        <f t="shared" si="7"/>
        <v>0</v>
      </c>
      <c r="AI67">
        <f t="shared" si="8"/>
        <v>0</v>
      </c>
      <c r="AJ67">
        <f t="shared" si="9"/>
        <v>0.16169691731489486</v>
      </c>
      <c r="AK67">
        <v>6892</v>
      </c>
      <c r="AL67">
        <v>6992</v>
      </c>
      <c r="AM67">
        <v>13884</v>
      </c>
      <c r="AN67" t="s">
        <v>43</v>
      </c>
      <c r="AO67">
        <v>0</v>
      </c>
    </row>
    <row r="68" spans="1:41" x14ac:dyDescent="0.2">
      <c r="A68" t="s">
        <v>122</v>
      </c>
      <c r="B68" s="4" t="str">
        <f t="shared" si="0"/>
        <v>9-4-2</v>
      </c>
      <c r="C68" t="s">
        <v>121</v>
      </c>
      <c r="D68" s="5" t="str">
        <f t="shared" si="19"/>
        <v>9-4</v>
      </c>
      <c r="E68" t="s">
        <v>96</v>
      </c>
      <c r="F68">
        <v>9</v>
      </c>
      <c r="G68">
        <v>10466</v>
      </c>
      <c r="H68">
        <v>10585</v>
      </c>
      <c r="I68">
        <v>135</v>
      </c>
      <c r="J68">
        <v>113</v>
      </c>
      <c r="M68">
        <v>2</v>
      </c>
      <c r="N68">
        <v>32</v>
      </c>
      <c r="R68">
        <v>15</v>
      </c>
      <c r="AC68">
        <f t="shared" si="2"/>
        <v>21051</v>
      </c>
      <c r="AD68">
        <f t="shared" si="3"/>
        <v>282</v>
      </c>
      <c r="AE68">
        <f t="shared" si="4"/>
        <v>297</v>
      </c>
      <c r="AF68">
        <f t="shared" si="5"/>
        <v>0</v>
      </c>
      <c r="AG68">
        <f t="shared" si="6"/>
        <v>1.3396038192959954E-2</v>
      </c>
      <c r="AH68">
        <f t="shared" si="7"/>
        <v>0</v>
      </c>
      <c r="AI68">
        <f t="shared" si="8"/>
        <v>0</v>
      </c>
      <c r="AJ68">
        <f t="shared" si="9"/>
        <v>1.3209668353007308E-2</v>
      </c>
      <c r="AK68">
        <v>10603</v>
      </c>
      <c r="AL68">
        <v>10745</v>
      </c>
      <c r="AM68">
        <v>21348</v>
      </c>
      <c r="AN68" t="s">
        <v>43</v>
      </c>
      <c r="AO68">
        <v>0</v>
      </c>
    </row>
    <row r="69" spans="1:41" x14ac:dyDescent="0.2">
      <c r="A69" t="s">
        <v>123</v>
      </c>
      <c r="B69" s="4" t="str">
        <f t="shared" si="0"/>
        <v>9-4-3</v>
      </c>
      <c r="C69" t="s">
        <v>121</v>
      </c>
      <c r="D69" s="5" t="str">
        <f t="shared" si="19"/>
        <v>9-4</v>
      </c>
      <c r="E69" t="s">
        <v>96</v>
      </c>
      <c r="F69">
        <v>9</v>
      </c>
      <c r="G69">
        <v>6221</v>
      </c>
      <c r="H69">
        <v>6114</v>
      </c>
      <c r="I69">
        <v>304</v>
      </c>
      <c r="J69">
        <v>330</v>
      </c>
      <c r="R69">
        <v>18</v>
      </c>
      <c r="AC69">
        <f t="shared" si="2"/>
        <v>12335</v>
      </c>
      <c r="AD69">
        <f t="shared" si="3"/>
        <v>634</v>
      </c>
      <c r="AE69">
        <f t="shared" si="4"/>
        <v>652</v>
      </c>
      <c r="AF69">
        <f t="shared" si="5"/>
        <v>0</v>
      </c>
      <c r="AG69">
        <f t="shared" si="6"/>
        <v>5.1398459667612487E-2</v>
      </c>
      <c r="AH69">
        <f t="shared" si="7"/>
        <v>0</v>
      </c>
      <c r="AI69">
        <f t="shared" si="8"/>
        <v>0</v>
      </c>
      <c r="AJ69">
        <f t="shared" si="9"/>
        <v>4.8818048818048819E-2</v>
      </c>
      <c r="AK69">
        <v>6525</v>
      </c>
      <c r="AL69">
        <v>6462</v>
      </c>
      <c r="AM69">
        <v>12987</v>
      </c>
      <c r="AN69" t="s">
        <v>43</v>
      </c>
      <c r="AO69">
        <v>0</v>
      </c>
    </row>
    <row r="70" spans="1:41" x14ac:dyDescent="0.2">
      <c r="A70" t="s">
        <v>124</v>
      </c>
      <c r="B70" s="4" t="str">
        <f t="shared" si="0"/>
        <v>9-4-4</v>
      </c>
      <c r="C70" t="s">
        <v>121</v>
      </c>
      <c r="D70" s="5" t="str">
        <f t="shared" si="19"/>
        <v>9-4</v>
      </c>
      <c r="E70" t="s">
        <v>96</v>
      </c>
      <c r="F70">
        <v>9</v>
      </c>
      <c r="G70">
        <v>10174</v>
      </c>
      <c r="H70">
        <v>10696</v>
      </c>
      <c r="I70">
        <v>1938</v>
      </c>
      <c r="J70">
        <v>2110</v>
      </c>
      <c r="Q70">
        <v>10</v>
      </c>
      <c r="R70">
        <v>16</v>
      </c>
      <c r="AC70">
        <f t="shared" si="2"/>
        <v>20870</v>
      </c>
      <c r="AD70">
        <f t="shared" si="3"/>
        <v>4048</v>
      </c>
      <c r="AE70">
        <f t="shared" si="4"/>
        <v>4074</v>
      </c>
      <c r="AF70">
        <f t="shared" si="5"/>
        <v>0</v>
      </c>
      <c r="AG70">
        <f t="shared" si="6"/>
        <v>0.1939626257786296</v>
      </c>
      <c r="AH70">
        <f t="shared" si="7"/>
        <v>0</v>
      </c>
      <c r="AI70">
        <f t="shared" si="8"/>
        <v>0</v>
      </c>
      <c r="AJ70">
        <f t="shared" si="9"/>
        <v>0.16228351507376523</v>
      </c>
      <c r="AK70">
        <v>12122</v>
      </c>
      <c r="AL70">
        <v>12822</v>
      </c>
      <c r="AM70">
        <v>24944</v>
      </c>
      <c r="AN70" t="s">
        <v>43</v>
      </c>
      <c r="AO70">
        <v>0</v>
      </c>
    </row>
    <row r="71" spans="1:41" x14ac:dyDescent="0.2">
      <c r="A71" t="s">
        <v>125</v>
      </c>
      <c r="B71" s="4" t="str">
        <f t="shared" si="0"/>
        <v>9-4-5</v>
      </c>
      <c r="C71" t="s">
        <v>121</v>
      </c>
      <c r="D71" s="5" t="str">
        <f t="shared" si="19"/>
        <v>9-4</v>
      </c>
      <c r="E71" t="s">
        <v>96</v>
      </c>
      <c r="F71">
        <v>9</v>
      </c>
      <c r="G71">
        <v>13522</v>
      </c>
      <c r="H71">
        <v>13466</v>
      </c>
      <c r="I71">
        <v>833</v>
      </c>
      <c r="J71">
        <v>1012</v>
      </c>
      <c r="Q71">
        <v>168</v>
      </c>
      <c r="R71">
        <v>188</v>
      </c>
      <c r="AA71">
        <v>3</v>
      </c>
      <c r="AB71">
        <v>3</v>
      </c>
      <c r="AC71">
        <f t="shared" si="2"/>
        <v>26988</v>
      </c>
      <c r="AD71">
        <f t="shared" si="3"/>
        <v>1845</v>
      </c>
      <c r="AE71">
        <f t="shared" si="4"/>
        <v>2201</v>
      </c>
      <c r="AF71">
        <f t="shared" si="5"/>
        <v>0</v>
      </c>
      <c r="AG71">
        <f t="shared" si="6"/>
        <v>6.8363717207647848E-2</v>
      </c>
      <c r="AH71">
        <f t="shared" si="7"/>
        <v>0</v>
      </c>
      <c r="AI71">
        <f t="shared" si="8"/>
        <v>0</v>
      </c>
      <c r="AJ71">
        <f t="shared" si="9"/>
        <v>6.2986480950430149E-2</v>
      </c>
      <c r="AK71">
        <v>14376</v>
      </c>
      <c r="AL71">
        <v>14716</v>
      </c>
      <c r="AM71">
        <v>29292</v>
      </c>
      <c r="AN71" t="s">
        <v>43</v>
      </c>
      <c r="AO71">
        <v>0</v>
      </c>
    </row>
    <row r="72" spans="1:41" x14ac:dyDescent="0.2">
      <c r="A72" t="s">
        <v>126</v>
      </c>
      <c r="B72" s="4" t="str">
        <f t="shared" si="0"/>
        <v>9-4-6</v>
      </c>
      <c r="C72" t="s">
        <v>121</v>
      </c>
      <c r="D72" s="5" t="str">
        <f t="shared" si="19"/>
        <v>9-4</v>
      </c>
      <c r="E72" t="s">
        <v>96</v>
      </c>
      <c r="F72">
        <v>9</v>
      </c>
      <c r="G72">
        <v>21135</v>
      </c>
      <c r="H72">
        <v>21277</v>
      </c>
      <c r="I72">
        <v>545</v>
      </c>
      <c r="J72">
        <v>607</v>
      </c>
      <c r="Q72">
        <v>2</v>
      </c>
      <c r="R72">
        <v>1</v>
      </c>
      <c r="AA72">
        <v>53</v>
      </c>
      <c r="AB72">
        <v>50</v>
      </c>
      <c r="AC72">
        <f t="shared" si="2"/>
        <v>42412</v>
      </c>
      <c r="AD72">
        <f t="shared" si="3"/>
        <v>1152</v>
      </c>
      <c r="AE72">
        <f t="shared" si="4"/>
        <v>1155</v>
      </c>
      <c r="AF72">
        <f t="shared" si="5"/>
        <v>0</v>
      </c>
      <c r="AG72">
        <f t="shared" si="6"/>
        <v>2.7162123927190418E-2</v>
      </c>
      <c r="AH72">
        <f t="shared" si="7"/>
        <v>0</v>
      </c>
      <c r="AI72">
        <f t="shared" si="8"/>
        <v>0</v>
      </c>
      <c r="AJ72">
        <f t="shared" si="9"/>
        <v>2.6442031813069526E-2</v>
      </c>
      <c r="AK72">
        <v>21682</v>
      </c>
      <c r="AL72">
        <v>21885</v>
      </c>
      <c r="AM72">
        <v>43567</v>
      </c>
      <c r="AN72" t="s">
        <v>43</v>
      </c>
      <c r="AO72">
        <v>1</v>
      </c>
    </row>
    <row r="73" spans="1:41" x14ac:dyDescent="0.2">
      <c r="A73" t="s">
        <v>127</v>
      </c>
      <c r="B73" s="4" t="str">
        <f t="shared" si="0"/>
        <v>9-2-1</v>
      </c>
      <c r="C73" t="s">
        <v>128</v>
      </c>
      <c r="D73" s="5" t="str">
        <f t="shared" ref="D73:D83" si="20">F73&amp;"-"&amp;2</f>
        <v>9-2</v>
      </c>
      <c r="E73" t="s">
        <v>96</v>
      </c>
      <c r="F73">
        <v>9</v>
      </c>
      <c r="G73">
        <v>11607</v>
      </c>
      <c r="H73">
        <v>12403</v>
      </c>
      <c r="I73">
        <v>2389</v>
      </c>
      <c r="J73">
        <v>2287</v>
      </c>
      <c r="K73">
        <v>168</v>
      </c>
      <c r="L73">
        <v>181</v>
      </c>
      <c r="Q73">
        <v>85</v>
      </c>
      <c r="R73">
        <v>95</v>
      </c>
      <c r="AC73">
        <f t="shared" si="2"/>
        <v>24010</v>
      </c>
      <c r="AD73">
        <f t="shared" si="3"/>
        <v>5025</v>
      </c>
      <c r="AE73">
        <f t="shared" si="4"/>
        <v>5205</v>
      </c>
      <c r="AF73">
        <f t="shared" si="5"/>
        <v>349</v>
      </c>
      <c r="AG73">
        <f t="shared" si="6"/>
        <v>0.20928779675135362</v>
      </c>
      <c r="AH73">
        <f t="shared" si="7"/>
        <v>1.453561016243232E-2</v>
      </c>
      <c r="AI73">
        <f t="shared" si="8"/>
        <v>1.1945918192709225E-2</v>
      </c>
      <c r="AJ73">
        <f t="shared" si="9"/>
        <v>0.17200068457983914</v>
      </c>
      <c r="AK73">
        <v>14249</v>
      </c>
      <c r="AL73">
        <v>14966</v>
      </c>
      <c r="AM73">
        <v>29215</v>
      </c>
      <c r="AN73" t="s">
        <v>43</v>
      </c>
      <c r="AO73">
        <v>0</v>
      </c>
    </row>
    <row r="74" spans="1:41" x14ac:dyDescent="0.2">
      <c r="A74" t="s">
        <v>129</v>
      </c>
      <c r="B74" s="4" t="str">
        <f t="shared" si="0"/>
        <v>9-2-2</v>
      </c>
      <c r="C74" t="s">
        <v>128</v>
      </c>
      <c r="D74" s="5" t="str">
        <f t="shared" si="20"/>
        <v>9-2</v>
      </c>
      <c r="E74" t="s">
        <v>96</v>
      </c>
      <c r="F74">
        <v>9</v>
      </c>
      <c r="G74">
        <v>12414</v>
      </c>
      <c r="H74">
        <v>13324</v>
      </c>
      <c r="I74">
        <v>1265</v>
      </c>
      <c r="J74">
        <v>1275</v>
      </c>
      <c r="K74">
        <v>7</v>
      </c>
      <c r="L74">
        <v>11</v>
      </c>
      <c r="Q74">
        <v>12</v>
      </c>
      <c r="R74">
        <v>15</v>
      </c>
      <c r="AC74">
        <f t="shared" si="2"/>
        <v>25738</v>
      </c>
      <c r="AD74">
        <f t="shared" si="3"/>
        <v>2558</v>
      </c>
      <c r="AE74">
        <f t="shared" si="4"/>
        <v>2585</v>
      </c>
      <c r="AF74">
        <f t="shared" si="5"/>
        <v>18</v>
      </c>
      <c r="AG74">
        <f t="shared" si="6"/>
        <v>9.9386121687776829E-2</v>
      </c>
      <c r="AH74">
        <f t="shared" si="7"/>
        <v>6.9935503924158831E-4</v>
      </c>
      <c r="AI74">
        <f t="shared" si="8"/>
        <v>7.5557234605213447E-4</v>
      </c>
      <c r="AJ74">
        <f t="shared" si="9"/>
        <v>0.10737522562229777</v>
      </c>
      <c r="AK74">
        <v>13698</v>
      </c>
      <c r="AL74">
        <v>14625</v>
      </c>
      <c r="AM74">
        <v>23823</v>
      </c>
      <c r="AN74" t="s">
        <v>43</v>
      </c>
      <c r="AO74">
        <v>0</v>
      </c>
    </row>
    <row r="75" spans="1:41" x14ac:dyDescent="0.2">
      <c r="A75" t="s">
        <v>130</v>
      </c>
      <c r="B75" s="4" t="str">
        <f t="shared" si="0"/>
        <v>9-2-3</v>
      </c>
      <c r="C75" t="s">
        <v>128</v>
      </c>
      <c r="D75" s="5" t="str">
        <f t="shared" si="20"/>
        <v>9-2</v>
      </c>
      <c r="E75" t="s">
        <v>96</v>
      </c>
      <c r="F75">
        <v>9</v>
      </c>
      <c r="G75">
        <v>16415</v>
      </c>
      <c r="H75">
        <v>17266</v>
      </c>
      <c r="I75">
        <v>17</v>
      </c>
      <c r="J75">
        <v>72</v>
      </c>
      <c r="K75">
        <v>1</v>
      </c>
      <c r="L75">
        <v>5</v>
      </c>
      <c r="AB75">
        <v>3</v>
      </c>
      <c r="AC75">
        <f t="shared" si="2"/>
        <v>33681</v>
      </c>
      <c r="AD75">
        <f t="shared" si="3"/>
        <v>95</v>
      </c>
      <c r="AE75">
        <f t="shared" si="4"/>
        <v>95</v>
      </c>
      <c r="AF75">
        <f t="shared" si="5"/>
        <v>6</v>
      </c>
      <c r="AG75">
        <f t="shared" si="6"/>
        <v>2.8205813366586501E-3</v>
      </c>
      <c r="AH75">
        <f t="shared" si="7"/>
        <v>1.7814197915738843E-4</v>
      </c>
      <c r="AI75">
        <f t="shared" si="8"/>
        <v>1.7762515172148376E-4</v>
      </c>
      <c r="AJ75">
        <f t="shared" si="9"/>
        <v>2.8123982355901596E-3</v>
      </c>
      <c r="AK75">
        <v>16433</v>
      </c>
      <c r="AL75">
        <v>17346</v>
      </c>
      <c r="AM75">
        <v>33779</v>
      </c>
      <c r="AN75" t="s">
        <v>43</v>
      </c>
      <c r="AO75">
        <v>0</v>
      </c>
    </row>
    <row r="76" spans="1:41" x14ac:dyDescent="0.2">
      <c r="A76" t="s">
        <v>131</v>
      </c>
      <c r="B76" s="4" t="str">
        <f t="shared" si="0"/>
        <v>9-2-4</v>
      </c>
      <c r="C76" t="s">
        <v>128</v>
      </c>
      <c r="D76" s="5" t="str">
        <f t="shared" si="20"/>
        <v>9-2</v>
      </c>
      <c r="E76" t="s">
        <v>96</v>
      </c>
      <c r="F76">
        <v>9</v>
      </c>
      <c r="G76">
        <v>8586</v>
      </c>
      <c r="H76">
        <v>9341</v>
      </c>
      <c r="AC76">
        <f t="shared" si="2"/>
        <v>17927</v>
      </c>
      <c r="AD76">
        <f t="shared" si="3"/>
        <v>0</v>
      </c>
      <c r="AE76">
        <f t="shared" si="4"/>
        <v>0</v>
      </c>
      <c r="AF76">
        <f t="shared" si="5"/>
        <v>0</v>
      </c>
      <c r="AG76">
        <f t="shared" si="6"/>
        <v>0</v>
      </c>
      <c r="AH76">
        <f t="shared" si="7"/>
        <v>0</v>
      </c>
      <c r="AI76">
        <f t="shared" si="8"/>
        <v>0</v>
      </c>
      <c r="AJ76">
        <f t="shared" si="9"/>
        <v>0</v>
      </c>
      <c r="AK76">
        <v>8586</v>
      </c>
      <c r="AL76">
        <v>9341</v>
      </c>
      <c r="AM76">
        <v>17927</v>
      </c>
      <c r="AN76" t="s">
        <v>43</v>
      </c>
      <c r="AO76">
        <v>0</v>
      </c>
    </row>
    <row r="77" spans="1:41" x14ac:dyDescent="0.2">
      <c r="A77" t="s">
        <v>132</v>
      </c>
      <c r="B77" s="4" t="str">
        <f t="shared" si="0"/>
        <v>9-2-5</v>
      </c>
      <c r="C77" t="s">
        <v>128</v>
      </c>
      <c r="D77" s="5" t="str">
        <f t="shared" si="20"/>
        <v>9-2</v>
      </c>
      <c r="E77" t="s">
        <v>96</v>
      </c>
      <c r="F77">
        <v>9</v>
      </c>
      <c r="G77">
        <v>15426</v>
      </c>
      <c r="H77">
        <v>15394</v>
      </c>
      <c r="I77">
        <v>310</v>
      </c>
      <c r="J77">
        <v>314</v>
      </c>
      <c r="AC77">
        <f t="shared" si="2"/>
        <v>30820</v>
      </c>
      <c r="AD77">
        <f t="shared" si="3"/>
        <v>624</v>
      </c>
      <c r="AE77">
        <f t="shared" si="4"/>
        <v>624</v>
      </c>
      <c r="AF77">
        <f t="shared" si="5"/>
        <v>0</v>
      </c>
      <c r="AG77">
        <f t="shared" si="6"/>
        <v>2.0246593121349774E-2</v>
      </c>
      <c r="AH77">
        <f t="shared" si="7"/>
        <v>0</v>
      </c>
      <c r="AI77">
        <f t="shared" si="8"/>
        <v>0</v>
      </c>
      <c r="AJ77">
        <f t="shared" si="9"/>
        <v>1.9844803460119579E-2</v>
      </c>
      <c r="AK77">
        <v>15736</v>
      </c>
      <c r="AL77">
        <v>15708</v>
      </c>
      <c r="AM77">
        <v>31444</v>
      </c>
      <c r="AN77" t="s">
        <v>43</v>
      </c>
      <c r="AO77">
        <v>0</v>
      </c>
    </row>
    <row r="78" spans="1:41" x14ac:dyDescent="0.2">
      <c r="A78" t="s">
        <v>133</v>
      </c>
      <c r="B78" s="4" t="str">
        <f t="shared" si="0"/>
        <v>9-2-6</v>
      </c>
      <c r="C78" t="s">
        <v>128</v>
      </c>
      <c r="D78" s="5" t="str">
        <f t="shared" si="20"/>
        <v>9-2</v>
      </c>
      <c r="E78" t="s">
        <v>96</v>
      </c>
      <c r="F78">
        <v>9</v>
      </c>
      <c r="G78">
        <v>10320</v>
      </c>
      <c r="H78">
        <v>11074</v>
      </c>
      <c r="I78">
        <v>1343</v>
      </c>
      <c r="J78">
        <v>1511</v>
      </c>
      <c r="K78">
        <v>230</v>
      </c>
      <c r="L78">
        <v>250</v>
      </c>
      <c r="Q78">
        <v>340</v>
      </c>
      <c r="R78">
        <v>391</v>
      </c>
      <c r="AC78">
        <f t="shared" si="2"/>
        <v>21394</v>
      </c>
      <c r="AD78">
        <f t="shared" si="3"/>
        <v>3334</v>
      </c>
      <c r="AE78">
        <f t="shared" si="4"/>
        <v>4065</v>
      </c>
      <c r="AF78">
        <f t="shared" si="5"/>
        <v>480</v>
      </c>
      <c r="AG78">
        <f t="shared" si="6"/>
        <v>0.15583808544451716</v>
      </c>
      <c r="AH78">
        <f t="shared" si="7"/>
        <v>2.2436197064597551E-2</v>
      </c>
      <c r="AI78">
        <f t="shared" si="8"/>
        <v>1.8853843434541811E-2</v>
      </c>
      <c r="AJ78">
        <f t="shared" si="9"/>
        <v>0.13095565418908833</v>
      </c>
      <c r="AK78">
        <v>12233</v>
      </c>
      <c r="AL78">
        <v>13226</v>
      </c>
      <c r="AM78">
        <v>25459</v>
      </c>
      <c r="AN78" t="s">
        <v>43</v>
      </c>
      <c r="AO78">
        <v>0</v>
      </c>
    </row>
    <row r="79" spans="1:41" x14ac:dyDescent="0.2">
      <c r="A79" t="s">
        <v>134</v>
      </c>
      <c r="B79" s="4" t="str">
        <f t="shared" si="0"/>
        <v>9-2-7</v>
      </c>
      <c r="C79" t="s">
        <v>128</v>
      </c>
      <c r="D79" s="5" t="str">
        <f t="shared" si="20"/>
        <v>9-2</v>
      </c>
      <c r="E79" t="s">
        <v>96</v>
      </c>
      <c r="F79">
        <v>9</v>
      </c>
      <c r="G79">
        <v>8396</v>
      </c>
      <c r="H79">
        <v>8336</v>
      </c>
      <c r="I79">
        <v>1306</v>
      </c>
      <c r="J79">
        <v>1296</v>
      </c>
      <c r="K79">
        <v>390</v>
      </c>
      <c r="L79">
        <v>380</v>
      </c>
      <c r="Q79">
        <v>34</v>
      </c>
      <c r="R79">
        <v>40</v>
      </c>
      <c r="AA79">
        <v>66</v>
      </c>
      <c r="AB79">
        <v>83</v>
      </c>
      <c r="AC79">
        <f t="shared" si="2"/>
        <v>16732</v>
      </c>
      <c r="AD79">
        <f t="shared" si="3"/>
        <v>3372</v>
      </c>
      <c r="AE79">
        <f t="shared" si="4"/>
        <v>3446</v>
      </c>
      <c r="AF79">
        <f t="shared" si="5"/>
        <v>770</v>
      </c>
      <c r="AG79">
        <f t="shared" si="6"/>
        <v>0.20153000239062874</v>
      </c>
      <c r="AH79">
        <f t="shared" si="7"/>
        <v>4.6019603155629932E-2</v>
      </c>
      <c r="AI79">
        <f t="shared" si="8"/>
        <v>3.7880651350420624E-2</v>
      </c>
      <c r="AJ79">
        <f t="shared" si="9"/>
        <v>0.16588773552417965</v>
      </c>
      <c r="AK79">
        <v>10192</v>
      </c>
      <c r="AL79">
        <v>10135</v>
      </c>
      <c r="AM79">
        <v>20327</v>
      </c>
      <c r="AN79" t="s">
        <v>43</v>
      </c>
      <c r="AO79">
        <v>0</v>
      </c>
    </row>
    <row r="80" spans="1:41" x14ac:dyDescent="0.2">
      <c r="A80" t="s">
        <v>135</v>
      </c>
      <c r="B80" s="4" t="str">
        <f t="shared" si="0"/>
        <v>9-2-8</v>
      </c>
      <c r="C80" t="s">
        <v>128</v>
      </c>
      <c r="D80" s="5" t="str">
        <f t="shared" si="20"/>
        <v>9-2</v>
      </c>
      <c r="E80" t="s">
        <v>96</v>
      </c>
      <c r="F80">
        <v>9</v>
      </c>
      <c r="G80">
        <v>12612</v>
      </c>
      <c r="H80">
        <v>13355</v>
      </c>
      <c r="I80">
        <v>1556</v>
      </c>
      <c r="J80">
        <v>1588</v>
      </c>
      <c r="AC80">
        <f t="shared" si="2"/>
        <v>25967</v>
      </c>
      <c r="AD80">
        <f t="shared" si="3"/>
        <v>3144</v>
      </c>
      <c r="AE80">
        <f t="shared" si="4"/>
        <v>3144</v>
      </c>
      <c r="AF80">
        <f t="shared" si="5"/>
        <v>0</v>
      </c>
      <c r="AG80">
        <f t="shared" si="6"/>
        <v>0.12107675126121616</v>
      </c>
      <c r="AH80">
        <f t="shared" si="7"/>
        <v>0</v>
      </c>
      <c r="AI80">
        <f t="shared" si="8"/>
        <v>0</v>
      </c>
      <c r="AJ80">
        <f t="shared" si="9"/>
        <v>0.1080004122153138</v>
      </c>
      <c r="AK80">
        <v>14168</v>
      </c>
      <c r="AL80">
        <v>14943</v>
      </c>
      <c r="AM80">
        <v>29111</v>
      </c>
      <c r="AN80" t="s">
        <v>43</v>
      </c>
      <c r="AO80">
        <v>0</v>
      </c>
    </row>
    <row r="81" spans="1:41" x14ac:dyDescent="0.2">
      <c r="A81" t="s">
        <v>136</v>
      </c>
      <c r="B81" s="4" t="str">
        <f t="shared" si="0"/>
        <v>9-2-9</v>
      </c>
      <c r="C81" t="s">
        <v>128</v>
      </c>
      <c r="D81" s="5" t="str">
        <f t="shared" si="20"/>
        <v>9-2</v>
      </c>
      <c r="E81" t="s">
        <v>96</v>
      </c>
      <c r="F81">
        <v>9</v>
      </c>
      <c r="G81">
        <v>33557</v>
      </c>
      <c r="H81">
        <v>34629</v>
      </c>
      <c r="I81">
        <v>7130</v>
      </c>
      <c r="J81">
        <v>8268</v>
      </c>
      <c r="K81">
        <v>1102</v>
      </c>
      <c r="L81">
        <v>1125</v>
      </c>
      <c r="Q81">
        <v>652</v>
      </c>
      <c r="R81">
        <v>693</v>
      </c>
      <c r="AA81">
        <v>122</v>
      </c>
      <c r="AB81">
        <v>813</v>
      </c>
      <c r="AC81">
        <f t="shared" si="2"/>
        <v>68186</v>
      </c>
      <c r="AD81">
        <f t="shared" si="3"/>
        <v>17625</v>
      </c>
      <c r="AE81">
        <f t="shared" si="4"/>
        <v>18970</v>
      </c>
      <c r="AF81">
        <f t="shared" si="5"/>
        <v>2227</v>
      </c>
      <c r="AG81">
        <f t="shared" si="6"/>
        <v>0.25848414630569327</v>
      </c>
      <c r="AH81">
        <f t="shared" si="7"/>
        <v>3.2660663479306601E-2</v>
      </c>
      <c r="AI81">
        <f t="shared" si="8"/>
        <v>2.5280675664937396E-2</v>
      </c>
      <c r="AJ81">
        <f t="shared" si="9"/>
        <v>0.20007719290279372</v>
      </c>
      <c r="AK81">
        <v>42563</v>
      </c>
      <c r="AL81">
        <v>45528</v>
      </c>
      <c r="AM81">
        <v>88091</v>
      </c>
      <c r="AN81" t="s">
        <v>43</v>
      </c>
      <c r="AO81">
        <v>1</v>
      </c>
    </row>
    <row r="82" spans="1:41" x14ac:dyDescent="0.2">
      <c r="A82" t="s">
        <v>137</v>
      </c>
      <c r="B82" s="4" t="str">
        <f t="shared" si="0"/>
        <v>9-2-10</v>
      </c>
      <c r="C82" t="s">
        <v>128</v>
      </c>
      <c r="D82" s="5" t="str">
        <f t="shared" si="20"/>
        <v>9-2</v>
      </c>
      <c r="E82" t="s">
        <v>96</v>
      </c>
      <c r="F82">
        <v>9</v>
      </c>
      <c r="G82">
        <v>11313</v>
      </c>
      <c r="H82">
        <v>12396</v>
      </c>
      <c r="I82">
        <v>280</v>
      </c>
      <c r="J82">
        <v>385</v>
      </c>
      <c r="AC82">
        <f t="shared" si="2"/>
        <v>23709</v>
      </c>
      <c r="AD82">
        <f t="shared" si="3"/>
        <v>665</v>
      </c>
      <c r="AE82">
        <f t="shared" si="4"/>
        <v>665</v>
      </c>
      <c r="AF82">
        <f t="shared" si="5"/>
        <v>0</v>
      </c>
      <c r="AG82">
        <f t="shared" si="6"/>
        <v>2.8048420431059935E-2</v>
      </c>
      <c r="AH82">
        <f t="shared" si="7"/>
        <v>0</v>
      </c>
      <c r="AI82">
        <f t="shared" si="8"/>
        <v>0</v>
      </c>
      <c r="AJ82">
        <f t="shared" si="9"/>
        <v>2.7283170591614014E-2</v>
      </c>
      <c r="AK82">
        <v>11593</v>
      </c>
      <c r="AL82">
        <v>12781</v>
      </c>
      <c r="AM82">
        <v>24374</v>
      </c>
      <c r="AN82" t="s">
        <v>43</v>
      </c>
      <c r="AO82">
        <v>0</v>
      </c>
    </row>
    <row r="83" spans="1:41" x14ac:dyDescent="0.2">
      <c r="A83" t="s">
        <v>138</v>
      </c>
      <c r="B83" s="4" t="str">
        <f t="shared" si="0"/>
        <v>9-2-11</v>
      </c>
      <c r="C83" t="s">
        <v>128</v>
      </c>
      <c r="D83" s="5" t="str">
        <f t="shared" si="20"/>
        <v>9-2</v>
      </c>
      <c r="E83" t="s">
        <v>96</v>
      </c>
      <c r="F83">
        <v>9</v>
      </c>
      <c r="G83">
        <v>8872</v>
      </c>
      <c r="H83">
        <v>8814</v>
      </c>
      <c r="I83">
        <v>613</v>
      </c>
      <c r="J83">
        <v>606</v>
      </c>
      <c r="AC83">
        <f t="shared" si="2"/>
        <v>17686</v>
      </c>
      <c r="AD83">
        <f t="shared" si="3"/>
        <v>1219</v>
      </c>
      <c r="AE83">
        <f t="shared" si="4"/>
        <v>1219</v>
      </c>
      <c r="AF83">
        <f t="shared" si="5"/>
        <v>0</v>
      </c>
      <c r="AG83">
        <f t="shared" si="6"/>
        <v>6.8924573108673531E-2</v>
      </c>
      <c r="AH83">
        <f t="shared" si="7"/>
        <v>0</v>
      </c>
      <c r="AI83">
        <f t="shared" si="8"/>
        <v>0</v>
      </c>
      <c r="AJ83">
        <f t="shared" si="9"/>
        <v>6.4480296217931762E-2</v>
      </c>
      <c r="AK83">
        <v>9485</v>
      </c>
      <c r="AL83">
        <v>9420</v>
      </c>
      <c r="AM83">
        <v>18905</v>
      </c>
      <c r="AN83" t="s">
        <v>43</v>
      </c>
      <c r="AO83">
        <v>0</v>
      </c>
    </row>
    <row r="84" spans="1:41" x14ac:dyDescent="0.2">
      <c r="A84" t="s">
        <v>139</v>
      </c>
      <c r="B84" s="4" t="str">
        <f t="shared" si="0"/>
        <v>13-1-1</v>
      </c>
      <c r="C84" t="s">
        <v>140</v>
      </c>
      <c r="D84" s="5" t="str">
        <f t="shared" ref="D84:D87" si="21">F84&amp;"-"&amp;1</f>
        <v>13-1</v>
      </c>
      <c r="E84" t="s">
        <v>141</v>
      </c>
      <c r="F84">
        <v>13</v>
      </c>
      <c r="G84">
        <v>3409</v>
      </c>
      <c r="H84">
        <v>3739</v>
      </c>
      <c r="K84">
        <v>2974</v>
      </c>
      <c r="L84">
        <v>3466</v>
      </c>
      <c r="S84">
        <v>66</v>
      </c>
      <c r="T84">
        <v>68</v>
      </c>
      <c r="AC84">
        <f t="shared" si="2"/>
        <v>7148</v>
      </c>
      <c r="AD84">
        <f t="shared" si="3"/>
        <v>6574</v>
      </c>
      <c r="AE84">
        <f t="shared" si="4"/>
        <v>6574</v>
      </c>
      <c r="AF84">
        <f t="shared" si="5"/>
        <v>6440</v>
      </c>
      <c r="AG84">
        <f t="shared" si="6"/>
        <v>0.91969781757134861</v>
      </c>
      <c r="AH84">
        <f t="shared" si="7"/>
        <v>0.90095131505316173</v>
      </c>
      <c r="AI84">
        <f t="shared" si="8"/>
        <v>0.46931934120390612</v>
      </c>
      <c r="AJ84">
        <f t="shared" si="9"/>
        <v>0.47908468153330419</v>
      </c>
      <c r="AM84">
        <f t="shared" ref="AM84:AM100" si="22">SUM(G84:Z84)</f>
        <v>13722</v>
      </c>
      <c r="AN84" t="s">
        <v>142</v>
      </c>
      <c r="AO84">
        <v>0</v>
      </c>
    </row>
    <row r="85" spans="1:41" x14ac:dyDescent="0.2">
      <c r="A85" t="s">
        <v>143</v>
      </c>
      <c r="B85" s="4" t="str">
        <f t="shared" si="0"/>
        <v>13-1-2</v>
      </c>
      <c r="C85" t="s">
        <v>140</v>
      </c>
      <c r="D85" s="5" t="str">
        <f t="shared" si="21"/>
        <v>13-1</v>
      </c>
      <c r="E85" t="s">
        <v>141</v>
      </c>
      <c r="F85">
        <v>13</v>
      </c>
      <c r="G85">
        <v>11922</v>
      </c>
      <c r="H85">
        <v>15751</v>
      </c>
      <c r="K85">
        <v>6437</v>
      </c>
      <c r="L85">
        <v>8880</v>
      </c>
      <c r="O85">
        <v>60</v>
      </c>
      <c r="P85">
        <v>70</v>
      </c>
      <c r="S85">
        <v>291</v>
      </c>
      <c r="T85">
        <v>356</v>
      </c>
      <c r="AC85">
        <f t="shared" si="2"/>
        <v>27673</v>
      </c>
      <c r="AD85">
        <f t="shared" si="3"/>
        <v>16094</v>
      </c>
      <c r="AE85">
        <f t="shared" si="4"/>
        <v>16094</v>
      </c>
      <c r="AF85">
        <f t="shared" si="5"/>
        <v>15317</v>
      </c>
      <c r="AG85">
        <f t="shared" si="6"/>
        <v>0.58157771112636869</v>
      </c>
      <c r="AH85">
        <f t="shared" si="7"/>
        <v>0.55349980125031617</v>
      </c>
      <c r="AI85">
        <f t="shared" si="8"/>
        <v>0.34996687001622229</v>
      </c>
      <c r="AJ85">
        <f t="shared" si="9"/>
        <v>0.36771997166815179</v>
      </c>
      <c r="AM85">
        <f t="shared" si="22"/>
        <v>43767</v>
      </c>
      <c r="AN85" t="s">
        <v>142</v>
      </c>
      <c r="AO85">
        <v>1</v>
      </c>
    </row>
    <row r="86" spans="1:41" x14ac:dyDescent="0.2">
      <c r="A86" t="s">
        <v>144</v>
      </c>
      <c r="B86" s="4" t="str">
        <f t="shared" si="0"/>
        <v>13-1-3</v>
      </c>
      <c r="C86" t="s">
        <v>140</v>
      </c>
      <c r="D86" s="5" t="str">
        <f t="shared" si="21"/>
        <v>13-1</v>
      </c>
      <c r="E86" t="s">
        <v>141</v>
      </c>
      <c r="F86">
        <v>13</v>
      </c>
      <c r="G86">
        <v>3511</v>
      </c>
      <c r="H86">
        <v>4753</v>
      </c>
      <c r="K86">
        <v>2380</v>
      </c>
      <c r="L86">
        <v>3340</v>
      </c>
      <c r="AC86">
        <f t="shared" si="2"/>
        <v>8264</v>
      </c>
      <c r="AD86">
        <f t="shared" si="3"/>
        <v>5720</v>
      </c>
      <c r="AE86">
        <f t="shared" si="4"/>
        <v>5720</v>
      </c>
      <c r="AF86">
        <f t="shared" si="5"/>
        <v>5720</v>
      </c>
      <c r="AG86">
        <f t="shared" si="6"/>
        <v>0.6921587608906099</v>
      </c>
      <c r="AH86">
        <f t="shared" si="7"/>
        <v>0.6921587608906099</v>
      </c>
      <c r="AI86">
        <f t="shared" si="8"/>
        <v>0.40903890160183065</v>
      </c>
      <c r="AJ86">
        <f t="shared" si="9"/>
        <v>0.40903890160183065</v>
      </c>
      <c r="AM86">
        <f t="shared" si="22"/>
        <v>13984</v>
      </c>
      <c r="AN86" t="s">
        <v>142</v>
      </c>
      <c r="AO86">
        <v>0</v>
      </c>
    </row>
    <row r="87" spans="1:41" x14ac:dyDescent="0.2">
      <c r="A87" t="s">
        <v>145</v>
      </c>
      <c r="B87" s="4" t="str">
        <f t="shared" si="0"/>
        <v>13-1-4</v>
      </c>
      <c r="C87" t="s">
        <v>140</v>
      </c>
      <c r="D87" s="5" t="str">
        <f t="shared" si="21"/>
        <v>13-1</v>
      </c>
      <c r="E87" t="s">
        <v>141</v>
      </c>
      <c r="F87">
        <v>13</v>
      </c>
      <c r="G87">
        <v>1449</v>
      </c>
      <c r="H87">
        <v>1732</v>
      </c>
      <c r="K87">
        <v>879</v>
      </c>
      <c r="L87">
        <v>1133</v>
      </c>
      <c r="AC87">
        <f t="shared" si="2"/>
        <v>3181</v>
      </c>
      <c r="AD87">
        <f t="shared" si="3"/>
        <v>2012</v>
      </c>
      <c r="AE87">
        <f t="shared" si="4"/>
        <v>2012</v>
      </c>
      <c r="AF87">
        <f t="shared" si="5"/>
        <v>2012</v>
      </c>
      <c r="AG87">
        <f t="shared" si="6"/>
        <v>0.63250550141464945</v>
      </c>
      <c r="AH87">
        <f t="shared" si="7"/>
        <v>0.63250550141464945</v>
      </c>
      <c r="AI87">
        <f t="shared" si="8"/>
        <v>0.38744463701136145</v>
      </c>
      <c r="AJ87">
        <f t="shared" si="9"/>
        <v>0.38744463701136145</v>
      </c>
      <c r="AM87">
        <f t="shared" si="22"/>
        <v>5193</v>
      </c>
      <c r="AN87" t="s">
        <v>142</v>
      </c>
      <c r="AO87">
        <v>0</v>
      </c>
    </row>
    <row r="88" spans="1:41" x14ac:dyDescent="0.2">
      <c r="A88" t="s">
        <v>146</v>
      </c>
      <c r="B88" s="4" t="str">
        <f t="shared" si="0"/>
        <v>13-4-1</v>
      </c>
      <c r="C88" t="s">
        <v>147</v>
      </c>
      <c r="D88" s="5" t="str">
        <f t="shared" ref="D88:D90" si="23">F88&amp;"-"&amp;4</f>
        <v>13-4</v>
      </c>
      <c r="E88" t="s">
        <v>141</v>
      </c>
      <c r="F88">
        <v>13</v>
      </c>
      <c r="G88">
        <v>4085</v>
      </c>
      <c r="H88">
        <v>5002</v>
      </c>
      <c r="K88">
        <v>369</v>
      </c>
      <c r="L88">
        <v>429</v>
      </c>
      <c r="AC88">
        <f t="shared" si="2"/>
        <v>9087</v>
      </c>
      <c r="AD88">
        <f t="shared" si="3"/>
        <v>798</v>
      </c>
      <c r="AE88">
        <f t="shared" si="4"/>
        <v>798</v>
      </c>
      <c r="AF88">
        <f t="shared" si="5"/>
        <v>798</v>
      </c>
      <c r="AG88">
        <f t="shared" si="6"/>
        <v>8.7817761637504127E-2</v>
      </c>
      <c r="AH88">
        <f t="shared" si="7"/>
        <v>8.7817761637504127E-2</v>
      </c>
      <c r="AI88">
        <f t="shared" si="8"/>
        <v>8.0728376327769344E-2</v>
      </c>
      <c r="AJ88">
        <f t="shared" si="9"/>
        <v>8.0728376327769344E-2</v>
      </c>
      <c r="AM88">
        <f t="shared" si="22"/>
        <v>9885</v>
      </c>
      <c r="AN88" t="s">
        <v>142</v>
      </c>
      <c r="AO88">
        <v>0</v>
      </c>
    </row>
    <row r="89" spans="1:41" x14ac:dyDescent="0.2">
      <c r="A89" t="s">
        <v>148</v>
      </c>
      <c r="B89" s="4" t="str">
        <f t="shared" si="0"/>
        <v>13-4-2</v>
      </c>
      <c r="C89" t="s">
        <v>147</v>
      </c>
      <c r="D89" s="5" t="str">
        <f t="shared" si="23"/>
        <v>13-4</v>
      </c>
      <c r="E89" t="s">
        <v>141</v>
      </c>
      <c r="F89">
        <v>13</v>
      </c>
      <c r="G89">
        <v>7311</v>
      </c>
      <c r="H89">
        <v>11859</v>
      </c>
      <c r="K89">
        <v>802</v>
      </c>
      <c r="L89">
        <v>1103</v>
      </c>
      <c r="AC89">
        <f t="shared" si="2"/>
        <v>19170</v>
      </c>
      <c r="AD89">
        <f t="shared" si="3"/>
        <v>1905</v>
      </c>
      <c r="AE89">
        <f t="shared" si="4"/>
        <v>1905</v>
      </c>
      <c r="AF89">
        <f t="shared" si="5"/>
        <v>1905</v>
      </c>
      <c r="AG89">
        <f t="shared" si="6"/>
        <v>9.9374021909233182E-2</v>
      </c>
      <c r="AH89">
        <f t="shared" si="7"/>
        <v>9.9374021909233182E-2</v>
      </c>
      <c r="AI89">
        <f t="shared" si="8"/>
        <v>9.0391459074733102E-2</v>
      </c>
      <c r="AJ89">
        <f t="shared" si="9"/>
        <v>9.0391459074733102E-2</v>
      </c>
      <c r="AM89">
        <f t="shared" si="22"/>
        <v>21075</v>
      </c>
      <c r="AN89" t="s">
        <v>142</v>
      </c>
      <c r="AO89">
        <v>1</v>
      </c>
    </row>
    <row r="90" spans="1:41" x14ac:dyDescent="0.2">
      <c r="A90" t="s">
        <v>149</v>
      </c>
      <c r="B90" s="4" t="str">
        <f t="shared" si="0"/>
        <v>13-4-3</v>
      </c>
      <c r="C90" t="s">
        <v>147</v>
      </c>
      <c r="D90" s="5" t="str">
        <f t="shared" si="23"/>
        <v>13-4</v>
      </c>
      <c r="E90" t="s">
        <v>141</v>
      </c>
      <c r="F90">
        <v>13</v>
      </c>
      <c r="G90">
        <v>3285</v>
      </c>
      <c r="H90">
        <v>3828</v>
      </c>
      <c r="K90">
        <v>1325</v>
      </c>
      <c r="L90">
        <v>1555</v>
      </c>
      <c r="AC90">
        <f t="shared" si="2"/>
        <v>7113</v>
      </c>
      <c r="AD90">
        <f t="shared" si="3"/>
        <v>2880</v>
      </c>
      <c r="AE90">
        <f t="shared" si="4"/>
        <v>2880</v>
      </c>
      <c r="AF90">
        <f t="shared" si="5"/>
        <v>2880</v>
      </c>
      <c r="AG90">
        <f t="shared" si="6"/>
        <v>0.4048924504428511</v>
      </c>
      <c r="AH90">
        <f t="shared" si="7"/>
        <v>0.4048924504428511</v>
      </c>
      <c r="AI90">
        <f t="shared" si="8"/>
        <v>0.28820174121885322</v>
      </c>
      <c r="AJ90">
        <f t="shared" si="9"/>
        <v>0.28820174121885322</v>
      </c>
      <c r="AM90">
        <f t="shared" si="22"/>
        <v>9993</v>
      </c>
      <c r="AN90" t="s">
        <v>142</v>
      </c>
      <c r="AO90">
        <v>0</v>
      </c>
    </row>
    <row r="91" spans="1:41" x14ac:dyDescent="0.2">
      <c r="A91" t="s">
        <v>150</v>
      </c>
      <c r="B91" s="4" t="str">
        <f t="shared" si="0"/>
        <v>13-3-1</v>
      </c>
      <c r="C91" t="s">
        <v>151</v>
      </c>
      <c r="D91" s="5" t="str">
        <f t="shared" ref="D91:D95" si="24">F91&amp;"-"&amp;3</f>
        <v>13-3</v>
      </c>
      <c r="E91" t="s">
        <v>141</v>
      </c>
      <c r="F91">
        <v>13</v>
      </c>
      <c r="G91">
        <v>3620</v>
      </c>
      <c r="H91">
        <v>4847</v>
      </c>
      <c r="K91">
        <v>7442</v>
      </c>
      <c r="L91">
        <v>9447</v>
      </c>
      <c r="AC91">
        <f t="shared" si="2"/>
        <v>8467</v>
      </c>
      <c r="AD91">
        <f t="shared" si="3"/>
        <v>16889</v>
      </c>
      <c r="AE91">
        <f t="shared" si="4"/>
        <v>16889</v>
      </c>
      <c r="AF91">
        <f t="shared" si="5"/>
        <v>16889</v>
      </c>
      <c r="AG91">
        <f t="shared" si="6"/>
        <v>1.9946852486122593</v>
      </c>
      <c r="AH91">
        <f t="shared" si="7"/>
        <v>1.9946852486122593</v>
      </c>
      <c r="AI91">
        <f t="shared" si="8"/>
        <v>0.66607509070831361</v>
      </c>
      <c r="AJ91">
        <f t="shared" si="9"/>
        <v>0.66607509070831361</v>
      </c>
      <c r="AM91">
        <f t="shared" si="22"/>
        <v>25356</v>
      </c>
      <c r="AN91" t="s">
        <v>142</v>
      </c>
      <c r="AO91">
        <v>0</v>
      </c>
    </row>
    <row r="92" spans="1:41" x14ac:dyDescent="0.2">
      <c r="A92" t="s">
        <v>152</v>
      </c>
      <c r="B92" s="4" t="str">
        <f t="shared" si="0"/>
        <v>13-3-2</v>
      </c>
      <c r="C92" t="s">
        <v>151</v>
      </c>
      <c r="D92" s="5" t="str">
        <f t="shared" si="24"/>
        <v>13-3</v>
      </c>
      <c r="E92" t="s">
        <v>141</v>
      </c>
      <c r="F92">
        <v>13</v>
      </c>
      <c r="G92">
        <v>4899</v>
      </c>
      <c r="H92">
        <v>5167</v>
      </c>
      <c r="K92">
        <v>2059</v>
      </c>
      <c r="L92">
        <v>2524</v>
      </c>
      <c r="AC92">
        <f t="shared" si="2"/>
        <v>10066</v>
      </c>
      <c r="AD92">
        <f t="shared" si="3"/>
        <v>4583</v>
      </c>
      <c r="AE92">
        <f t="shared" si="4"/>
        <v>4583</v>
      </c>
      <c r="AF92">
        <f t="shared" si="5"/>
        <v>4583</v>
      </c>
      <c r="AG92">
        <f t="shared" si="6"/>
        <v>0.45529505265249354</v>
      </c>
      <c r="AH92">
        <f t="shared" si="7"/>
        <v>0.45529505265249354</v>
      </c>
      <c r="AI92">
        <f t="shared" si="8"/>
        <v>0.31285411973513549</v>
      </c>
      <c r="AJ92">
        <f t="shared" si="9"/>
        <v>0.31285411973513549</v>
      </c>
      <c r="AM92">
        <f t="shared" si="22"/>
        <v>14649</v>
      </c>
      <c r="AN92" t="s">
        <v>142</v>
      </c>
      <c r="AO92">
        <v>0</v>
      </c>
    </row>
    <row r="93" spans="1:41" x14ac:dyDescent="0.2">
      <c r="A93" t="s">
        <v>153</v>
      </c>
      <c r="B93" s="4" t="str">
        <f t="shared" si="0"/>
        <v>13-3-3</v>
      </c>
      <c r="C93" t="s">
        <v>151</v>
      </c>
      <c r="D93" s="5" t="str">
        <f t="shared" si="24"/>
        <v>13-3</v>
      </c>
      <c r="E93" t="s">
        <v>141</v>
      </c>
      <c r="F93">
        <v>13</v>
      </c>
      <c r="G93">
        <v>9795</v>
      </c>
      <c r="H93">
        <v>11451</v>
      </c>
      <c r="K93">
        <v>13742</v>
      </c>
      <c r="L93">
        <v>18649</v>
      </c>
      <c r="O93">
        <v>1089</v>
      </c>
      <c r="P93">
        <v>1360</v>
      </c>
      <c r="S93">
        <v>187</v>
      </c>
      <c r="T93">
        <v>301</v>
      </c>
      <c r="AC93">
        <f t="shared" si="2"/>
        <v>21246</v>
      </c>
      <c r="AD93">
        <f t="shared" si="3"/>
        <v>35328</v>
      </c>
      <c r="AE93">
        <f t="shared" si="4"/>
        <v>35328</v>
      </c>
      <c r="AF93">
        <f t="shared" si="5"/>
        <v>32391</v>
      </c>
      <c r="AG93">
        <f t="shared" si="6"/>
        <v>1.6628071166337193</v>
      </c>
      <c r="AH93">
        <f t="shared" si="7"/>
        <v>1.524569330697543</v>
      </c>
      <c r="AI93">
        <f t="shared" si="8"/>
        <v>0.57254215717467383</v>
      </c>
      <c r="AJ93">
        <f t="shared" si="9"/>
        <v>0.62445646410011668</v>
      </c>
      <c r="AM93">
        <f t="shared" si="22"/>
        <v>56574</v>
      </c>
      <c r="AN93" t="s">
        <v>142</v>
      </c>
      <c r="AO93">
        <v>1</v>
      </c>
    </row>
    <row r="94" spans="1:41" x14ac:dyDescent="0.2">
      <c r="A94" t="s">
        <v>154</v>
      </c>
      <c r="B94" s="4" t="str">
        <f t="shared" si="0"/>
        <v>13-3-4</v>
      </c>
      <c r="C94" t="s">
        <v>151</v>
      </c>
      <c r="D94" s="5" t="str">
        <f t="shared" si="24"/>
        <v>13-3</v>
      </c>
      <c r="E94" t="s">
        <v>141</v>
      </c>
      <c r="F94">
        <v>13</v>
      </c>
      <c r="G94">
        <v>5543</v>
      </c>
      <c r="H94">
        <v>7805</v>
      </c>
      <c r="K94">
        <v>1570</v>
      </c>
      <c r="L94">
        <v>1617</v>
      </c>
      <c r="AC94">
        <f t="shared" si="2"/>
        <v>13348</v>
      </c>
      <c r="AD94">
        <f t="shared" si="3"/>
        <v>3187</v>
      </c>
      <c r="AE94">
        <f t="shared" si="4"/>
        <v>3187</v>
      </c>
      <c r="AF94">
        <f t="shared" si="5"/>
        <v>3187</v>
      </c>
      <c r="AG94">
        <f t="shared" si="6"/>
        <v>0.2387623614024573</v>
      </c>
      <c r="AH94">
        <f t="shared" si="7"/>
        <v>0.2387623614024573</v>
      </c>
      <c r="AI94">
        <f t="shared" si="8"/>
        <v>0.19274266706985183</v>
      </c>
      <c r="AJ94">
        <f t="shared" si="9"/>
        <v>0.19274266706985183</v>
      </c>
      <c r="AM94">
        <f t="shared" si="22"/>
        <v>16535</v>
      </c>
      <c r="AN94" t="s">
        <v>142</v>
      </c>
      <c r="AO94">
        <v>0</v>
      </c>
    </row>
    <row r="95" spans="1:41" x14ac:dyDescent="0.2">
      <c r="A95" t="s">
        <v>155</v>
      </c>
      <c r="B95" s="4" t="str">
        <f t="shared" si="0"/>
        <v>13-3-5</v>
      </c>
      <c r="C95" t="s">
        <v>151</v>
      </c>
      <c r="D95" s="5" t="str">
        <f t="shared" si="24"/>
        <v>13-3</v>
      </c>
      <c r="E95" t="s">
        <v>141</v>
      </c>
      <c r="F95">
        <v>13</v>
      </c>
      <c r="G95">
        <v>4715</v>
      </c>
      <c r="H95">
        <v>5976</v>
      </c>
      <c r="K95">
        <v>498</v>
      </c>
      <c r="L95">
        <v>726</v>
      </c>
      <c r="AC95">
        <f t="shared" si="2"/>
        <v>10691</v>
      </c>
      <c r="AD95">
        <f t="shared" si="3"/>
        <v>1224</v>
      </c>
      <c r="AE95">
        <f t="shared" si="4"/>
        <v>1224</v>
      </c>
      <c r="AF95">
        <f t="shared" si="5"/>
        <v>1224</v>
      </c>
      <c r="AG95">
        <f t="shared" si="6"/>
        <v>0.11448882237395941</v>
      </c>
      <c r="AH95">
        <f t="shared" si="7"/>
        <v>0.11448882237395941</v>
      </c>
      <c r="AI95">
        <f t="shared" si="8"/>
        <v>0.10272765421737307</v>
      </c>
      <c r="AJ95">
        <f t="shared" si="9"/>
        <v>0.10272765421737307</v>
      </c>
      <c r="AM95">
        <f t="shared" si="22"/>
        <v>11915</v>
      </c>
      <c r="AN95" t="s">
        <v>142</v>
      </c>
      <c r="AO95">
        <v>0</v>
      </c>
    </row>
    <row r="96" spans="1:41" x14ac:dyDescent="0.2">
      <c r="A96" t="s">
        <v>156</v>
      </c>
      <c r="B96" s="4" t="str">
        <f t="shared" si="0"/>
        <v>13-2-1</v>
      </c>
      <c r="C96" t="s">
        <v>157</v>
      </c>
      <c r="D96" s="5" t="str">
        <f t="shared" ref="D96:D100" si="25">F96&amp;"-"&amp;2</f>
        <v>13-2</v>
      </c>
      <c r="E96" t="s">
        <v>141</v>
      </c>
      <c r="F96">
        <v>13</v>
      </c>
      <c r="G96">
        <v>6531</v>
      </c>
      <c r="H96">
        <v>7958</v>
      </c>
      <c r="K96">
        <v>701</v>
      </c>
      <c r="L96">
        <v>967</v>
      </c>
      <c r="W96">
        <v>75</v>
      </c>
      <c r="X96">
        <v>72</v>
      </c>
      <c r="AC96">
        <f t="shared" si="2"/>
        <v>14489</v>
      </c>
      <c r="AD96">
        <f t="shared" si="3"/>
        <v>1815</v>
      </c>
      <c r="AE96">
        <f t="shared" si="4"/>
        <v>1815</v>
      </c>
      <c r="AF96">
        <f t="shared" si="5"/>
        <v>1668</v>
      </c>
      <c r="AG96">
        <f t="shared" si="6"/>
        <v>0.12526744426806544</v>
      </c>
      <c r="AH96">
        <f t="shared" si="7"/>
        <v>0.11512181655048657</v>
      </c>
      <c r="AI96">
        <f t="shared" si="8"/>
        <v>0.10230618253189401</v>
      </c>
      <c r="AJ96">
        <f t="shared" si="9"/>
        <v>0.11132237487733071</v>
      </c>
      <c r="AM96">
        <f t="shared" si="22"/>
        <v>16304</v>
      </c>
      <c r="AN96" t="s">
        <v>142</v>
      </c>
      <c r="AO96">
        <v>0</v>
      </c>
    </row>
    <row r="97" spans="1:41" x14ac:dyDescent="0.2">
      <c r="A97" s="7" t="s">
        <v>158</v>
      </c>
      <c r="B97" s="4" t="str">
        <f t="shared" si="0"/>
        <v>13-2-2</v>
      </c>
      <c r="C97" s="7" t="s">
        <v>157</v>
      </c>
      <c r="D97" s="5" t="str">
        <f t="shared" si="25"/>
        <v>13-2</v>
      </c>
      <c r="E97" s="7" t="s">
        <v>141</v>
      </c>
      <c r="F97">
        <v>13</v>
      </c>
      <c r="G97">
        <v>5844</v>
      </c>
      <c r="H97">
        <v>6552</v>
      </c>
      <c r="K97">
        <v>1712</v>
      </c>
      <c r="L97">
        <v>1846</v>
      </c>
      <c r="O97">
        <v>186</v>
      </c>
      <c r="P97">
        <v>166</v>
      </c>
      <c r="S97">
        <v>75</v>
      </c>
      <c r="T97">
        <v>74</v>
      </c>
      <c r="W97">
        <v>389</v>
      </c>
      <c r="X97">
        <v>405</v>
      </c>
      <c r="AC97">
        <f t="shared" si="2"/>
        <v>12396</v>
      </c>
      <c r="AD97">
        <f t="shared" si="3"/>
        <v>4853</v>
      </c>
      <c r="AE97">
        <f t="shared" si="4"/>
        <v>4853</v>
      </c>
      <c r="AF97">
        <f t="shared" si="5"/>
        <v>3558</v>
      </c>
      <c r="AG97">
        <f t="shared" si="6"/>
        <v>0.39149725717973538</v>
      </c>
      <c r="AH97">
        <f t="shared" si="7"/>
        <v>0.28702807357212001</v>
      </c>
      <c r="AI97">
        <f t="shared" si="8"/>
        <v>0.20627282741028466</v>
      </c>
      <c r="AJ97">
        <f t="shared" si="9"/>
        <v>0.28134964345759172</v>
      </c>
      <c r="AM97">
        <f t="shared" si="22"/>
        <v>17249</v>
      </c>
      <c r="AN97" t="s">
        <v>142</v>
      </c>
      <c r="AO97">
        <v>0</v>
      </c>
    </row>
    <row r="98" spans="1:41" x14ac:dyDescent="0.2">
      <c r="A98" t="s">
        <v>159</v>
      </c>
      <c r="B98" s="4" t="str">
        <f t="shared" si="0"/>
        <v>13-2-3</v>
      </c>
      <c r="C98" t="s">
        <v>157</v>
      </c>
      <c r="D98" s="5" t="str">
        <f t="shared" si="25"/>
        <v>13-2</v>
      </c>
      <c r="E98" t="s">
        <v>141</v>
      </c>
      <c r="F98">
        <v>13</v>
      </c>
      <c r="G98">
        <v>1770</v>
      </c>
      <c r="H98">
        <v>2090</v>
      </c>
      <c r="K98">
        <v>500</v>
      </c>
      <c r="L98">
        <v>585</v>
      </c>
      <c r="AC98">
        <f t="shared" si="2"/>
        <v>3860</v>
      </c>
      <c r="AD98">
        <f t="shared" si="3"/>
        <v>1085</v>
      </c>
      <c r="AE98">
        <f t="shared" si="4"/>
        <v>1085</v>
      </c>
      <c r="AF98">
        <f t="shared" si="5"/>
        <v>1085</v>
      </c>
      <c r="AG98">
        <f t="shared" si="6"/>
        <v>0.2810880829015544</v>
      </c>
      <c r="AH98">
        <f t="shared" si="7"/>
        <v>0.2810880829015544</v>
      </c>
      <c r="AI98">
        <f t="shared" si="8"/>
        <v>0.21941354903943378</v>
      </c>
      <c r="AJ98">
        <f t="shared" si="9"/>
        <v>0.21941354903943378</v>
      </c>
      <c r="AM98">
        <f t="shared" si="22"/>
        <v>4945</v>
      </c>
      <c r="AN98" t="s">
        <v>142</v>
      </c>
      <c r="AO98">
        <v>0</v>
      </c>
    </row>
    <row r="99" spans="1:41" x14ac:dyDescent="0.2">
      <c r="A99" t="s">
        <v>160</v>
      </c>
      <c r="B99" s="4" t="str">
        <f t="shared" si="0"/>
        <v>13-2-4</v>
      </c>
      <c r="C99" t="s">
        <v>157</v>
      </c>
      <c r="D99" s="5" t="str">
        <f t="shared" si="25"/>
        <v>13-2</v>
      </c>
      <c r="E99" t="s">
        <v>141</v>
      </c>
      <c r="F99">
        <v>13</v>
      </c>
      <c r="G99">
        <v>7714</v>
      </c>
      <c r="H99">
        <v>7608</v>
      </c>
      <c r="K99">
        <v>974</v>
      </c>
      <c r="L99">
        <v>958</v>
      </c>
      <c r="O99">
        <v>208</v>
      </c>
      <c r="P99">
        <v>270</v>
      </c>
      <c r="S99">
        <v>123</v>
      </c>
      <c r="T99">
        <v>133</v>
      </c>
      <c r="W99">
        <v>141</v>
      </c>
      <c r="X99">
        <v>175</v>
      </c>
      <c r="AC99">
        <f t="shared" si="2"/>
        <v>15322</v>
      </c>
      <c r="AD99">
        <f t="shared" si="3"/>
        <v>2982</v>
      </c>
      <c r="AE99">
        <f t="shared" si="4"/>
        <v>2982</v>
      </c>
      <c r="AF99">
        <f t="shared" si="5"/>
        <v>1932</v>
      </c>
      <c r="AG99">
        <f t="shared" si="6"/>
        <v>0.19462211199582299</v>
      </c>
      <c r="AH99">
        <f t="shared" si="7"/>
        <v>0.12609319932123744</v>
      </c>
      <c r="AI99">
        <f t="shared" si="8"/>
        <v>0.1055506993006993</v>
      </c>
      <c r="AJ99">
        <f t="shared" si="9"/>
        <v>0.16291520979020979</v>
      </c>
      <c r="AM99">
        <f t="shared" si="22"/>
        <v>18304</v>
      </c>
      <c r="AN99" t="s">
        <v>142</v>
      </c>
      <c r="AO99">
        <v>1</v>
      </c>
    </row>
    <row r="100" spans="1:41" x14ac:dyDescent="0.2">
      <c r="A100" t="s">
        <v>161</v>
      </c>
      <c r="B100" s="4" t="str">
        <f t="shared" si="0"/>
        <v>13-2-5</v>
      </c>
      <c r="C100" t="s">
        <v>157</v>
      </c>
      <c r="D100" s="5" t="str">
        <f t="shared" si="25"/>
        <v>13-2</v>
      </c>
      <c r="E100" t="s">
        <v>141</v>
      </c>
      <c r="F100">
        <v>13</v>
      </c>
      <c r="G100">
        <v>5938</v>
      </c>
      <c r="H100">
        <v>7482</v>
      </c>
      <c r="K100">
        <v>332</v>
      </c>
      <c r="L100">
        <v>428</v>
      </c>
      <c r="W100">
        <v>625</v>
      </c>
      <c r="X100">
        <v>813</v>
      </c>
      <c r="AC100">
        <f t="shared" si="2"/>
        <v>13420</v>
      </c>
      <c r="AD100">
        <f t="shared" si="3"/>
        <v>2198</v>
      </c>
      <c r="AE100">
        <f t="shared" si="4"/>
        <v>2198</v>
      </c>
      <c r="AF100">
        <f t="shared" si="5"/>
        <v>760</v>
      </c>
      <c r="AG100">
        <f t="shared" si="6"/>
        <v>0.16378539493293592</v>
      </c>
      <c r="AH100">
        <f t="shared" si="7"/>
        <v>5.663189269746647E-2</v>
      </c>
      <c r="AI100">
        <f t="shared" si="8"/>
        <v>4.8661800486618008E-2</v>
      </c>
      <c r="AJ100">
        <f t="shared" si="9"/>
        <v>0.14073504930208733</v>
      </c>
      <c r="AM100">
        <f t="shared" si="22"/>
        <v>15618</v>
      </c>
      <c r="AN100" t="s">
        <v>142</v>
      </c>
      <c r="AO100">
        <v>0</v>
      </c>
    </row>
    <row r="101" spans="1:41" x14ac:dyDescent="0.2">
      <c r="A101" t="s">
        <v>162</v>
      </c>
      <c r="B101" s="4" t="str">
        <f t="shared" si="0"/>
        <v>16-4-1</v>
      </c>
      <c r="C101" t="s">
        <v>163</v>
      </c>
      <c r="D101" s="5" t="s">
        <v>164</v>
      </c>
      <c r="E101" t="s">
        <v>165</v>
      </c>
      <c r="F101">
        <v>16</v>
      </c>
      <c r="G101">
        <v>38405</v>
      </c>
      <c r="H101">
        <v>38274</v>
      </c>
      <c r="K101">
        <v>2615</v>
      </c>
      <c r="L101">
        <v>2699</v>
      </c>
      <c r="AC101">
        <f t="shared" si="2"/>
        <v>76679</v>
      </c>
      <c r="AD101">
        <f t="shared" si="3"/>
        <v>5314</v>
      </c>
      <c r="AE101">
        <f t="shared" si="4"/>
        <v>5314</v>
      </c>
      <c r="AF101">
        <f t="shared" si="5"/>
        <v>5314</v>
      </c>
      <c r="AG101">
        <f t="shared" si="6"/>
        <v>6.9301894912557546E-2</v>
      </c>
      <c r="AH101">
        <f t="shared" si="7"/>
        <v>6.9301894912557546E-2</v>
      </c>
      <c r="AI101">
        <f t="shared" si="8"/>
        <v>6.4810410644811148E-2</v>
      </c>
      <c r="AJ101">
        <f t="shared" si="9"/>
        <v>6.4810410644811148E-2</v>
      </c>
      <c r="AK101">
        <v>41020</v>
      </c>
      <c r="AL101">
        <v>40973</v>
      </c>
      <c r="AM101">
        <v>81993</v>
      </c>
      <c r="AN101" t="s">
        <v>43</v>
      </c>
      <c r="AO101">
        <v>1</v>
      </c>
    </row>
    <row r="102" spans="1:41" x14ac:dyDescent="0.2">
      <c r="A102" t="s">
        <v>166</v>
      </c>
      <c r="B102" s="4" t="str">
        <f t="shared" si="0"/>
        <v>16-4-2</v>
      </c>
      <c r="C102" t="s">
        <v>163</v>
      </c>
      <c r="D102" s="5" t="s">
        <v>164</v>
      </c>
      <c r="E102" t="s">
        <v>165</v>
      </c>
      <c r="F102">
        <v>16</v>
      </c>
      <c r="G102">
        <v>15779</v>
      </c>
      <c r="H102">
        <v>16212</v>
      </c>
      <c r="AC102">
        <f t="shared" si="2"/>
        <v>31991</v>
      </c>
      <c r="AD102">
        <f t="shared" si="3"/>
        <v>0</v>
      </c>
      <c r="AE102">
        <f t="shared" si="4"/>
        <v>0</v>
      </c>
      <c r="AF102">
        <f t="shared" si="5"/>
        <v>0</v>
      </c>
      <c r="AG102">
        <f t="shared" si="6"/>
        <v>0</v>
      </c>
      <c r="AH102">
        <f t="shared" si="7"/>
        <v>0</v>
      </c>
      <c r="AI102">
        <f t="shared" si="8"/>
        <v>0</v>
      </c>
      <c r="AJ102">
        <f t="shared" si="9"/>
        <v>0</v>
      </c>
      <c r="AK102">
        <v>15779</v>
      </c>
      <c r="AL102">
        <v>16212</v>
      </c>
      <c r="AM102">
        <v>31991</v>
      </c>
      <c r="AN102" t="s">
        <v>43</v>
      </c>
      <c r="AO102">
        <v>0</v>
      </c>
    </row>
    <row r="103" spans="1:41" x14ac:dyDescent="0.2">
      <c r="A103" t="s">
        <v>167</v>
      </c>
      <c r="B103" s="4" t="str">
        <f t="shared" si="0"/>
        <v>16-4-3</v>
      </c>
      <c r="C103" t="s">
        <v>163</v>
      </c>
      <c r="D103" s="5" t="s">
        <v>164</v>
      </c>
      <c r="E103" t="s">
        <v>165</v>
      </c>
      <c r="F103">
        <v>16</v>
      </c>
      <c r="G103">
        <v>11542</v>
      </c>
      <c r="H103">
        <v>12022</v>
      </c>
      <c r="I103">
        <v>3</v>
      </c>
      <c r="J103">
        <v>6</v>
      </c>
      <c r="K103">
        <v>23</v>
      </c>
      <c r="L103">
        <v>35</v>
      </c>
      <c r="N103">
        <v>1</v>
      </c>
      <c r="AC103">
        <f t="shared" si="2"/>
        <v>23564</v>
      </c>
      <c r="AD103">
        <f t="shared" si="3"/>
        <v>68</v>
      </c>
      <c r="AE103">
        <f t="shared" si="4"/>
        <v>68</v>
      </c>
      <c r="AF103">
        <f t="shared" si="5"/>
        <v>58</v>
      </c>
      <c r="AG103">
        <f t="shared" si="6"/>
        <v>2.8857579358343237E-3</v>
      </c>
      <c r="AH103">
        <f t="shared" si="7"/>
        <v>2.4613817687998644E-3</v>
      </c>
      <c r="AI103">
        <f t="shared" si="8"/>
        <v>2.4542992552471225E-3</v>
      </c>
      <c r="AJ103">
        <f t="shared" si="9"/>
        <v>2.8774542992552471E-3</v>
      </c>
      <c r="AK103">
        <v>11568</v>
      </c>
      <c r="AL103">
        <v>12064</v>
      </c>
      <c r="AM103">
        <v>23632</v>
      </c>
      <c r="AN103" t="s">
        <v>43</v>
      </c>
      <c r="AO103">
        <v>0</v>
      </c>
    </row>
    <row r="104" spans="1:41" x14ac:dyDescent="0.2">
      <c r="A104" t="s">
        <v>168</v>
      </c>
      <c r="B104" s="4" t="str">
        <f t="shared" si="0"/>
        <v>16-4-4</v>
      </c>
      <c r="C104" t="s">
        <v>163</v>
      </c>
      <c r="D104" s="5" t="s">
        <v>164</v>
      </c>
      <c r="E104" t="s">
        <v>165</v>
      </c>
      <c r="F104">
        <v>16</v>
      </c>
      <c r="G104">
        <v>36592</v>
      </c>
      <c r="H104">
        <v>36713</v>
      </c>
      <c r="I104">
        <v>25</v>
      </c>
      <c r="J104">
        <v>69</v>
      </c>
      <c r="K104">
        <v>36</v>
      </c>
      <c r="L104">
        <v>42</v>
      </c>
      <c r="AC104">
        <f t="shared" si="2"/>
        <v>73305</v>
      </c>
      <c r="AD104">
        <f t="shared" si="3"/>
        <v>172</v>
      </c>
      <c r="AE104">
        <f t="shared" si="4"/>
        <v>172</v>
      </c>
      <c r="AF104">
        <f t="shared" si="5"/>
        <v>78</v>
      </c>
      <c r="AG104">
        <f t="shared" si="6"/>
        <v>2.3463610940590682E-3</v>
      </c>
      <c r="AH104">
        <f t="shared" si="7"/>
        <v>1.064047472887252E-3</v>
      </c>
      <c r="AI104">
        <f t="shared" si="8"/>
        <v>1.0615566775997931E-3</v>
      </c>
      <c r="AJ104">
        <f t="shared" si="9"/>
        <v>2.3408685711174926E-3</v>
      </c>
      <c r="AK104">
        <v>36653</v>
      </c>
      <c r="AL104">
        <v>36824</v>
      </c>
      <c r="AM104">
        <v>73477</v>
      </c>
      <c r="AN104" t="s">
        <v>43</v>
      </c>
      <c r="AO104">
        <v>0</v>
      </c>
    </row>
    <row r="105" spans="1:41" x14ac:dyDescent="0.2">
      <c r="A105" t="s">
        <v>169</v>
      </c>
      <c r="B105" s="4" t="str">
        <f t="shared" si="0"/>
        <v>16-1-1</v>
      </c>
      <c r="C105" t="s">
        <v>170</v>
      </c>
      <c r="D105" s="5" t="str">
        <f t="shared" ref="D105:D110" si="26">F105&amp;"-"&amp;1</f>
        <v>16-1</v>
      </c>
      <c r="E105" t="s">
        <v>165</v>
      </c>
      <c r="F105">
        <v>16</v>
      </c>
      <c r="G105">
        <v>44641</v>
      </c>
      <c r="H105">
        <v>45022</v>
      </c>
      <c r="I105">
        <v>10702</v>
      </c>
      <c r="J105">
        <v>10584</v>
      </c>
      <c r="K105">
        <v>3232</v>
      </c>
      <c r="L105">
        <v>2594</v>
      </c>
      <c r="N105">
        <v>22</v>
      </c>
      <c r="O105">
        <v>357</v>
      </c>
      <c r="P105">
        <v>293</v>
      </c>
      <c r="Q105">
        <v>1281</v>
      </c>
      <c r="R105">
        <v>1303</v>
      </c>
      <c r="S105">
        <v>145</v>
      </c>
      <c r="T105">
        <v>151</v>
      </c>
      <c r="U105">
        <v>5</v>
      </c>
      <c r="V105">
        <v>7</v>
      </c>
      <c r="AA105">
        <v>533</v>
      </c>
      <c r="AB105">
        <v>718</v>
      </c>
      <c r="AC105">
        <f t="shared" si="2"/>
        <v>89663</v>
      </c>
      <c r="AD105">
        <f t="shared" si="3"/>
        <v>28092</v>
      </c>
      <c r="AE105">
        <f t="shared" si="4"/>
        <v>30676</v>
      </c>
      <c r="AF105">
        <f t="shared" si="5"/>
        <v>5826</v>
      </c>
      <c r="AG105">
        <f t="shared" si="6"/>
        <v>0.31330649208703704</v>
      </c>
      <c r="AH105">
        <f t="shared" si="7"/>
        <v>6.4976634732275301E-2</v>
      </c>
      <c r="AI105">
        <f t="shared" si="8"/>
        <v>4.7915124599062421E-2</v>
      </c>
      <c r="AJ105">
        <f t="shared" si="9"/>
        <v>0.23103873673821859</v>
      </c>
      <c r="AK105">
        <v>60896</v>
      </c>
      <c r="AL105">
        <v>60694</v>
      </c>
      <c r="AM105">
        <v>121590</v>
      </c>
      <c r="AN105" t="s">
        <v>43</v>
      </c>
      <c r="AO105">
        <v>1</v>
      </c>
    </row>
    <row r="106" spans="1:41" x14ac:dyDescent="0.2">
      <c r="A106" t="s">
        <v>171</v>
      </c>
      <c r="B106" s="4" t="str">
        <f t="shared" si="0"/>
        <v>16-1-2</v>
      </c>
      <c r="C106" t="s">
        <v>170</v>
      </c>
      <c r="D106" s="5" t="str">
        <f t="shared" si="26"/>
        <v>16-1</v>
      </c>
      <c r="E106" t="s">
        <v>165</v>
      </c>
      <c r="F106">
        <v>16</v>
      </c>
      <c r="G106">
        <v>7403</v>
      </c>
      <c r="H106">
        <v>7937</v>
      </c>
      <c r="I106">
        <v>3120</v>
      </c>
      <c r="J106">
        <v>3455</v>
      </c>
      <c r="K106">
        <v>7810</v>
      </c>
      <c r="L106">
        <v>8813</v>
      </c>
      <c r="S106">
        <v>37</v>
      </c>
      <c r="T106">
        <v>34</v>
      </c>
      <c r="AA106">
        <v>97</v>
      </c>
      <c r="AB106">
        <v>116</v>
      </c>
      <c r="AC106">
        <f t="shared" si="2"/>
        <v>15340</v>
      </c>
      <c r="AD106">
        <f t="shared" si="3"/>
        <v>23269</v>
      </c>
      <c r="AE106">
        <f t="shared" si="4"/>
        <v>23269</v>
      </c>
      <c r="AF106">
        <f t="shared" si="5"/>
        <v>16623</v>
      </c>
      <c r="AG106">
        <f t="shared" si="6"/>
        <v>1.5168839634941329</v>
      </c>
      <c r="AH106">
        <f t="shared" si="7"/>
        <v>1.0836375488917862</v>
      </c>
      <c r="AI106">
        <f t="shared" si="8"/>
        <v>0.42818504971407967</v>
      </c>
      <c r="AJ106">
        <f t="shared" si="9"/>
        <v>0.59937664211014374</v>
      </c>
      <c r="AK106">
        <v>18467</v>
      </c>
      <c r="AL106">
        <v>20355</v>
      </c>
      <c r="AM106">
        <v>38822</v>
      </c>
      <c r="AN106" t="s">
        <v>43</v>
      </c>
      <c r="AO106">
        <v>0</v>
      </c>
    </row>
    <row r="107" spans="1:41" x14ac:dyDescent="0.2">
      <c r="A107" t="s">
        <v>172</v>
      </c>
      <c r="B107" s="4" t="str">
        <f t="shared" si="0"/>
        <v>16-1-3</v>
      </c>
      <c r="C107" t="s">
        <v>170</v>
      </c>
      <c r="D107" s="5" t="str">
        <f t="shared" si="26"/>
        <v>16-1</v>
      </c>
      <c r="E107" t="s">
        <v>165</v>
      </c>
      <c r="F107">
        <v>16</v>
      </c>
      <c r="G107">
        <v>19128</v>
      </c>
      <c r="H107">
        <v>21000</v>
      </c>
      <c r="I107">
        <v>514</v>
      </c>
      <c r="J107">
        <v>540</v>
      </c>
      <c r="K107">
        <v>404</v>
      </c>
      <c r="L107">
        <v>409</v>
      </c>
      <c r="AC107">
        <f t="shared" si="2"/>
        <v>40128</v>
      </c>
      <c r="AD107">
        <f t="shared" si="3"/>
        <v>1867</v>
      </c>
      <c r="AE107">
        <f t="shared" si="4"/>
        <v>1867</v>
      </c>
      <c r="AF107">
        <f t="shared" si="5"/>
        <v>813</v>
      </c>
      <c r="AG107">
        <f t="shared" si="6"/>
        <v>4.6526116427432214E-2</v>
      </c>
      <c r="AH107">
        <f t="shared" si="7"/>
        <v>2.0260167464114832E-2</v>
      </c>
      <c r="AI107">
        <f t="shared" si="8"/>
        <v>1.9359447553280153E-2</v>
      </c>
      <c r="AJ107">
        <f t="shared" si="9"/>
        <v>4.4457673532563399E-2</v>
      </c>
      <c r="AK107">
        <v>20046</v>
      </c>
      <c r="AL107">
        <v>21949</v>
      </c>
      <c r="AM107">
        <v>41995</v>
      </c>
      <c r="AN107" t="s">
        <v>43</v>
      </c>
      <c r="AO107">
        <v>0</v>
      </c>
    </row>
    <row r="108" spans="1:41" x14ac:dyDescent="0.2">
      <c r="A108" t="s">
        <v>173</v>
      </c>
      <c r="B108" s="4" t="str">
        <f t="shared" si="0"/>
        <v>16-1-4</v>
      </c>
      <c r="C108" t="s">
        <v>170</v>
      </c>
      <c r="D108" s="5" t="str">
        <f t="shared" si="26"/>
        <v>16-1</v>
      </c>
      <c r="E108" t="s">
        <v>165</v>
      </c>
      <c r="F108">
        <v>16</v>
      </c>
      <c r="G108">
        <v>9421</v>
      </c>
      <c r="H108">
        <v>10681</v>
      </c>
      <c r="I108">
        <v>3436</v>
      </c>
      <c r="J108">
        <v>3830</v>
      </c>
      <c r="K108">
        <v>377</v>
      </c>
      <c r="L108">
        <v>377</v>
      </c>
      <c r="Q108">
        <v>38</v>
      </c>
      <c r="R108">
        <v>49</v>
      </c>
      <c r="S108">
        <v>25</v>
      </c>
      <c r="T108">
        <v>23</v>
      </c>
      <c r="AA108">
        <v>2</v>
      </c>
      <c r="AB108">
        <v>4</v>
      </c>
      <c r="AC108">
        <f t="shared" si="2"/>
        <v>20102</v>
      </c>
      <c r="AD108">
        <f t="shared" si="3"/>
        <v>8068</v>
      </c>
      <c r="AE108">
        <f t="shared" si="4"/>
        <v>8155</v>
      </c>
      <c r="AF108">
        <f t="shared" si="5"/>
        <v>754</v>
      </c>
      <c r="AG108">
        <f t="shared" si="6"/>
        <v>0.40135309919411005</v>
      </c>
      <c r="AH108">
        <f t="shared" si="7"/>
        <v>3.7508705601432692E-2</v>
      </c>
      <c r="AI108">
        <f t="shared" si="8"/>
        <v>2.6677988890068286E-2</v>
      </c>
      <c r="AJ108">
        <f t="shared" si="9"/>
        <v>0.28546155751335667</v>
      </c>
      <c r="AK108">
        <v>13299</v>
      </c>
      <c r="AL108">
        <v>14964</v>
      </c>
      <c r="AM108">
        <v>28263</v>
      </c>
      <c r="AN108" t="s">
        <v>43</v>
      </c>
      <c r="AO108">
        <v>0</v>
      </c>
    </row>
    <row r="109" spans="1:41" x14ac:dyDescent="0.2">
      <c r="A109" t="s">
        <v>174</v>
      </c>
      <c r="B109" s="4" t="str">
        <f t="shared" si="0"/>
        <v>16-1-5</v>
      </c>
      <c r="C109" t="s">
        <v>170</v>
      </c>
      <c r="D109" s="5" t="str">
        <f t="shared" si="26"/>
        <v>16-1</v>
      </c>
      <c r="E109" t="s">
        <v>165</v>
      </c>
      <c r="F109">
        <v>16</v>
      </c>
      <c r="G109">
        <v>2348</v>
      </c>
      <c r="H109">
        <v>2543</v>
      </c>
      <c r="I109">
        <v>5631</v>
      </c>
      <c r="J109">
        <v>6161</v>
      </c>
      <c r="AC109">
        <f t="shared" si="2"/>
        <v>4891</v>
      </c>
      <c r="AD109">
        <f t="shared" si="3"/>
        <v>11792</v>
      </c>
      <c r="AE109">
        <f t="shared" si="4"/>
        <v>11792</v>
      </c>
      <c r="AF109">
        <f t="shared" si="5"/>
        <v>0</v>
      </c>
      <c r="AG109">
        <f t="shared" si="6"/>
        <v>2.4109589041095889</v>
      </c>
      <c r="AH109">
        <f t="shared" si="7"/>
        <v>0</v>
      </c>
      <c r="AI109">
        <f t="shared" si="8"/>
        <v>0</v>
      </c>
      <c r="AJ109">
        <f t="shared" si="9"/>
        <v>0.70682730923694781</v>
      </c>
      <c r="AK109">
        <v>7979</v>
      </c>
      <c r="AL109">
        <v>8704</v>
      </c>
      <c r="AM109">
        <v>16683</v>
      </c>
      <c r="AN109" t="s">
        <v>43</v>
      </c>
      <c r="AO109">
        <v>0</v>
      </c>
    </row>
    <row r="110" spans="1:41" x14ac:dyDescent="0.2">
      <c r="A110" t="s">
        <v>175</v>
      </c>
      <c r="B110" s="4" t="str">
        <f t="shared" si="0"/>
        <v>16-1-6</v>
      </c>
      <c r="C110" t="s">
        <v>170</v>
      </c>
      <c r="D110" s="5" t="str">
        <f t="shared" si="26"/>
        <v>16-1</v>
      </c>
      <c r="E110" t="s">
        <v>165</v>
      </c>
      <c r="F110">
        <v>16</v>
      </c>
      <c r="G110">
        <v>19290</v>
      </c>
      <c r="H110">
        <v>19139</v>
      </c>
      <c r="AC110">
        <f t="shared" si="2"/>
        <v>38429</v>
      </c>
      <c r="AD110">
        <f t="shared" si="3"/>
        <v>0</v>
      </c>
      <c r="AE110">
        <f t="shared" si="4"/>
        <v>0</v>
      </c>
      <c r="AF110">
        <f t="shared" si="5"/>
        <v>0</v>
      </c>
      <c r="AG110">
        <f t="shared" si="6"/>
        <v>0</v>
      </c>
      <c r="AH110">
        <f t="shared" si="7"/>
        <v>0</v>
      </c>
      <c r="AI110">
        <f t="shared" si="8"/>
        <v>0</v>
      </c>
      <c r="AJ110">
        <f t="shared" si="9"/>
        <v>0</v>
      </c>
      <c r="AK110">
        <v>19290</v>
      </c>
      <c r="AL110">
        <v>19139</v>
      </c>
      <c r="AM110">
        <v>38429</v>
      </c>
      <c r="AN110" t="s">
        <v>43</v>
      </c>
      <c r="AO110">
        <v>0</v>
      </c>
    </row>
    <row r="111" spans="1:41" x14ac:dyDescent="0.2">
      <c r="A111" t="s">
        <v>176</v>
      </c>
      <c r="B111" s="4" t="str">
        <f t="shared" si="0"/>
        <v>16-2-1</v>
      </c>
      <c r="C111" t="s">
        <v>177</v>
      </c>
      <c r="D111" s="5" t="s">
        <v>178</v>
      </c>
      <c r="E111" t="s">
        <v>165</v>
      </c>
      <c r="F111">
        <v>16</v>
      </c>
      <c r="G111">
        <v>24211</v>
      </c>
      <c r="H111">
        <v>22932</v>
      </c>
      <c r="I111">
        <v>3942</v>
      </c>
      <c r="J111">
        <v>3602</v>
      </c>
      <c r="K111">
        <v>3213</v>
      </c>
      <c r="L111">
        <v>3124</v>
      </c>
      <c r="O111">
        <v>378</v>
      </c>
      <c r="P111">
        <v>372</v>
      </c>
      <c r="S111">
        <v>78</v>
      </c>
      <c r="T111">
        <v>77</v>
      </c>
      <c r="AC111">
        <f t="shared" si="2"/>
        <v>47143</v>
      </c>
      <c r="AD111">
        <f t="shared" si="3"/>
        <v>14786</v>
      </c>
      <c r="AE111">
        <f t="shared" si="4"/>
        <v>14786</v>
      </c>
      <c r="AF111">
        <f t="shared" si="5"/>
        <v>6337</v>
      </c>
      <c r="AG111">
        <f t="shared" si="6"/>
        <v>0.31364147381371571</v>
      </c>
      <c r="AH111">
        <f t="shared" si="7"/>
        <v>0.13442080478544005</v>
      </c>
      <c r="AI111">
        <f t="shared" si="8"/>
        <v>0.10232685817629866</v>
      </c>
      <c r="AJ111">
        <f t="shared" si="9"/>
        <v>0.23875728657010448</v>
      </c>
      <c r="AK111">
        <v>31822</v>
      </c>
      <c r="AL111">
        <v>30107</v>
      </c>
      <c r="AM111">
        <v>61929</v>
      </c>
      <c r="AN111" t="s">
        <v>43</v>
      </c>
      <c r="AO111">
        <v>1</v>
      </c>
    </row>
    <row r="112" spans="1:41" x14ac:dyDescent="0.2">
      <c r="A112" t="s">
        <v>179</v>
      </c>
      <c r="B112" s="4" t="str">
        <f t="shared" si="0"/>
        <v>16-2-2</v>
      </c>
      <c r="C112" t="s">
        <v>177</v>
      </c>
      <c r="D112" s="5" t="s">
        <v>178</v>
      </c>
      <c r="E112" t="s">
        <v>165</v>
      </c>
      <c r="F112">
        <v>16</v>
      </c>
      <c r="G112">
        <v>19451</v>
      </c>
      <c r="H112">
        <v>18892</v>
      </c>
      <c r="K112">
        <v>2688</v>
      </c>
      <c r="L112">
        <v>2816</v>
      </c>
      <c r="O112">
        <v>47</v>
      </c>
      <c r="P112">
        <v>47</v>
      </c>
      <c r="S112">
        <v>89</v>
      </c>
      <c r="T112">
        <v>85</v>
      </c>
      <c r="AC112">
        <f t="shared" si="2"/>
        <v>38343</v>
      </c>
      <c r="AD112">
        <f t="shared" si="3"/>
        <v>5772</v>
      </c>
      <c r="AE112">
        <f t="shared" si="4"/>
        <v>5772</v>
      </c>
      <c r="AF112">
        <f t="shared" si="5"/>
        <v>5504</v>
      </c>
      <c r="AG112">
        <f t="shared" si="6"/>
        <v>0.15053595180345825</v>
      </c>
      <c r="AH112">
        <f t="shared" si="7"/>
        <v>0.14354641003573013</v>
      </c>
      <c r="AI112">
        <f t="shared" si="8"/>
        <v>0.12476481922248668</v>
      </c>
      <c r="AJ112">
        <f t="shared" si="9"/>
        <v>0.13083985039102347</v>
      </c>
      <c r="AK112">
        <v>22275</v>
      </c>
      <c r="AL112">
        <v>21840</v>
      </c>
      <c r="AM112">
        <v>44115</v>
      </c>
      <c r="AN112" t="s">
        <v>43</v>
      </c>
      <c r="AO112">
        <v>0</v>
      </c>
    </row>
    <row r="113" spans="1:41" x14ac:dyDescent="0.2">
      <c r="A113" t="s">
        <v>180</v>
      </c>
      <c r="B113" s="4" t="str">
        <f t="shared" si="0"/>
        <v>16-2-3</v>
      </c>
      <c r="C113" t="s">
        <v>177</v>
      </c>
      <c r="D113" s="5" t="s">
        <v>178</v>
      </c>
      <c r="E113" t="s">
        <v>165</v>
      </c>
      <c r="F113">
        <v>16</v>
      </c>
      <c r="G113">
        <v>19167</v>
      </c>
      <c r="H113">
        <v>19308</v>
      </c>
      <c r="I113">
        <v>767</v>
      </c>
      <c r="J113">
        <v>775</v>
      </c>
      <c r="K113">
        <v>1779</v>
      </c>
      <c r="L113">
        <v>2183</v>
      </c>
      <c r="O113">
        <v>15</v>
      </c>
      <c r="P113">
        <v>26</v>
      </c>
      <c r="AC113">
        <f t="shared" si="2"/>
        <v>38475</v>
      </c>
      <c r="AD113">
        <f t="shared" si="3"/>
        <v>5545</v>
      </c>
      <c r="AE113">
        <f t="shared" si="4"/>
        <v>5545</v>
      </c>
      <c r="AF113">
        <f t="shared" si="5"/>
        <v>3962</v>
      </c>
      <c r="AG113">
        <f t="shared" si="6"/>
        <v>0.14411955815464586</v>
      </c>
      <c r="AH113">
        <f t="shared" si="7"/>
        <v>0.10297595841455491</v>
      </c>
      <c r="AI113">
        <f t="shared" si="8"/>
        <v>9.0004543389368474E-2</v>
      </c>
      <c r="AJ113">
        <f t="shared" si="9"/>
        <v>0.12596547024079963</v>
      </c>
      <c r="AK113">
        <v>21728</v>
      </c>
      <c r="AL113">
        <v>22292</v>
      </c>
      <c r="AM113">
        <v>44020</v>
      </c>
      <c r="AN113" t="s">
        <v>43</v>
      </c>
      <c r="AO113">
        <v>0</v>
      </c>
    </row>
    <row r="114" spans="1:41" x14ac:dyDescent="0.2">
      <c r="A114" t="s">
        <v>181</v>
      </c>
      <c r="B114" s="4" t="str">
        <f t="shared" si="0"/>
        <v>16-2-4</v>
      </c>
      <c r="C114" t="s">
        <v>177</v>
      </c>
      <c r="D114" s="5" t="s">
        <v>178</v>
      </c>
      <c r="E114" t="s">
        <v>165</v>
      </c>
      <c r="F114">
        <v>16</v>
      </c>
      <c r="G114">
        <v>13950</v>
      </c>
      <c r="H114">
        <v>14304</v>
      </c>
      <c r="I114">
        <v>878</v>
      </c>
      <c r="J114">
        <v>862</v>
      </c>
      <c r="K114">
        <v>760</v>
      </c>
      <c r="L114">
        <v>833</v>
      </c>
      <c r="S114">
        <v>4</v>
      </c>
      <c r="T114">
        <v>5</v>
      </c>
      <c r="AB114">
        <v>4</v>
      </c>
      <c r="AC114">
        <f t="shared" si="2"/>
        <v>28254</v>
      </c>
      <c r="AD114">
        <f t="shared" si="3"/>
        <v>3342</v>
      </c>
      <c r="AE114">
        <f t="shared" si="4"/>
        <v>3342</v>
      </c>
      <c r="AF114">
        <f t="shared" si="5"/>
        <v>1593</v>
      </c>
      <c r="AG114">
        <f t="shared" si="6"/>
        <v>0.1182841367593969</v>
      </c>
      <c r="AH114">
        <f t="shared" si="7"/>
        <v>5.6381397324272671E-2</v>
      </c>
      <c r="AI114">
        <f t="shared" si="8"/>
        <v>5.0411392405063288E-2</v>
      </c>
      <c r="AJ114">
        <f t="shared" si="9"/>
        <v>0.10575949367088608</v>
      </c>
      <c r="AK114">
        <v>15592</v>
      </c>
      <c r="AL114">
        <v>16008</v>
      </c>
      <c r="AM114">
        <v>31600</v>
      </c>
      <c r="AN114" t="s">
        <v>43</v>
      </c>
      <c r="AO114">
        <v>0</v>
      </c>
    </row>
    <row r="115" spans="1:41" x14ac:dyDescent="0.2">
      <c r="A115" t="s">
        <v>182</v>
      </c>
      <c r="B115" s="4" t="str">
        <f t="shared" si="0"/>
        <v>16-5-1</v>
      </c>
      <c r="C115" t="s">
        <v>183</v>
      </c>
      <c r="D115" s="5" t="s">
        <v>184</v>
      </c>
      <c r="E115" t="s">
        <v>165</v>
      </c>
      <c r="F115">
        <v>16</v>
      </c>
      <c r="G115">
        <v>40</v>
      </c>
      <c r="H115">
        <v>50</v>
      </c>
      <c r="I115">
        <v>9798</v>
      </c>
      <c r="J115">
        <v>10335</v>
      </c>
      <c r="AA115">
        <v>703</v>
      </c>
      <c r="AB115">
        <v>751</v>
      </c>
      <c r="AC115">
        <f t="shared" si="2"/>
        <v>90</v>
      </c>
      <c r="AD115">
        <f t="shared" si="3"/>
        <v>20133</v>
      </c>
      <c r="AE115">
        <f t="shared" si="4"/>
        <v>20133</v>
      </c>
      <c r="AF115">
        <f t="shared" si="5"/>
        <v>0</v>
      </c>
      <c r="AG115">
        <f t="shared" si="6"/>
        <v>223.7</v>
      </c>
      <c r="AH115">
        <f t="shared" si="7"/>
        <v>0</v>
      </c>
      <c r="AI115">
        <f t="shared" si="8"/>
        <v>0</v>
      </c>
      <c r="AJ115">
        <f t="shared" si="9"/>
        <v>0.92877243160954004</v>
      </c>
      <c r="AK115">
        <v>10541</v>
      </c>
      <c r="AL115">
        <v>11136</v>
      </c>
      <c r="AM115">
        <v>21677</v>
      </c>
      <c r="AN115" t="s">
        <v>43</v>
      </c>
      <c r="AO115">
        <v>0</v>
      </c>
    </row>
    <row r="116" spans="1:41" x14ac:dyDescent="0.2">
      <c r="A116" t="s">
        <v>185</v>
      </c>
      <c r="B116" s="4" t="str">
        <f t="shared" si="0"/>
        <v>16-5-2</v>
      </c>
      <c r="C116" t="s">
        <v>183</v>
      </c>
      <c r="D116" s="5" t="s">
        <v>184</v>
      </c>
      <c r="E116" t="s">
        <v>165</v>
      </c>
      <c r="F116">
        <v>16</v>
      </c>
      <c r="G116">
        <v>53972</v>
      </c>
      <c r="H116">
        <v>56353</v>
      </c>
      <c r="I116">
        <v>958</v>
      </c>
      <c r="J116">
        <v>1002</v>
      </c>
      <c r="K116">
        <v>956</v>
      </c>
      <c r="L116">
        <v>844</v>
      </c>
      <c r="M116">
        <v>265</v>
      </c>
      <c r="N116">
        <v>988</v>
      </c>
      <c r="AA116">
        <v>14</v>
      </c>
      <c r="AB116">
        <v>22</v>
      </c>
      <c r="AC116">
        <f t="shared" si="2"/>
        <v>110325</v>
      </c>
      <c r="AD116">
        <f t="shared" si="3"/>
        <v>5013</v>
      </c>
      <c r="AE116">
        <f t="shared" si="4"/>
        <v>5013</v>
      </c>
      <c r="AF116">
        <f t="shared" si="5"/>
        <v>1800</v>
      </c>
      <c r="AG116">
        <f t="shared" si="6"/>
        <v>4.5438477226376617E-2</v>
      </c>
      <c r="AH116">
        <f t="shared" si="7"/>
        <v>1.6315431679129844E-2</v>
      </c>
      <c r="AI116">
        <f t="shared" si="8"/>
        <v>1.5601435332050549E-2</v>
      </c>
      <c r="AJ116">
        <f t="shared" si="9"/>
        <v>4.3449997399760777E-2</v>
      </c>
      <c r="AK116">
        <v>56165</v>
      </c>
      <c r="AL116">
        <v>59209</v>
      </c>
      <c r="AM116">
        <v>115374</v>
      </c>
      <c r="AN116" t="s">
        <v>43</v>
      </c>
      <c r="AO116">
        <v>1</v>
      </c>
    </row>
    <row r="117" spans="1:41" x14ac:dyDescent="0.2">
      <c r="A117" t="s">
        <v>186</v>
      </c>
      <c r="B117" s="4" t="str">
        <f t="shared" si="0"/>
        <v>16-5-3</v>
      </c>
      <c r="C117" t="s">
        <v>183</v>
      </c>
      <c r="D117" s="5" t="s">
        <v>184</v>
      </c>
      <c r="E117" t="s">
        <v>165</v>
      </c>
      <c r="F117">
        <v>16</v>
      </c>
      <c r="G117">
        <v>14519</v>
      </c>
      <c r="H117">
        <v>15473</v>
      </c>
      <c r="I117">
        <v>2762</v>
      </c>
      <c r="J117">
        <v>2725</v>
      </c>
      <c r="K117">
        <v>2282</v>
      </c>
      <c r="L117">
        <v>2175</v>
      </c>
      <c r="O117">
        <v>443</v>
      </c>
      <c r="P117">
        <v>406</v>
      </c>
      <c r="AA117">
        <v>59</v>
      </c>
      <c r="AB117">
        <v>68</v>
      </c>
      <c r="AC117">
        <f t="shared" si="2"/>
        <v>29992</v>
      </c>
      <c r="AD117">
        <f t="shared" si="3"/>
        <v>10793</v>
      </c>
      <c r="AE117">
        <f t="shared" si="4"/>
        <v>10793</v>
      </c>
      <c r="AF117">
        <f t="shared" si="5"/>
        <v>4457</v>
      </c>
      <c r="AG117">
        <f t="shared" si="6"/>
        <v>0.35986263003467589</v>
      </c>
      <c r="AH117">
        <f t="shared" si="7"/>
        <v>0.1486062950120032</v>
      </c>
      <c r="AI117">
        <f t="shared" si="8"/>
        <v>0.10894114196323818</v>
      </c>
      <c r="AJ117">
        <f t="shared" si="9"/>
        <v>0.26381012905748924</v>
      </c>
      <c r="AK117">
        <v>20065</v>
      </c>
      <c r="AL117">
        <v>20847</v>
      </c>
      <c r="AM117">
        <v>40912</v>
      </c>
      <c r="AN117" t="s">
        <v>43</v>
      </c>
      <c r="AO117">
        <v>0</v>
      </c>
    </row>
    <row r="118" spans="1:41" x14ac:dyDescent="0.2">
      <c r="A118" t="s">
        <v>187</v>
      </c>
      <c r="B118" s="4" t="str">
        <f t="shared" si="0"/>
        <v>16-5-4</v>
      </c>
      <c r="C118" t="s">
        <v>183</v>
      </c>
      <c r="D118" s="5" t="s">
        <v>184</v>
      </c>
      <c r="E118" t="s">
        <v>165</v>
      </c>
      <c r="F118">
        <v>16</v>
      </c>
      <c r="G118">
        <v>11778</v>
      </c>
      <c r="H118">
        <v>11378</v>
      </c>
      <c r="I118">
        <v>52</v>
      </c>
      <c r="J118">
        <v>99</v>
      </c>
      <c r="AC118">
        <f t="shared" si="2"/>
        <v>23156</v>
      </c>
      <c r="AD118">
        <f t="shared" si="3"/>
        <v>151</v>
      </c>
      <c r="AE118">
        <f t="shared" si="4"/>
        <v>151</v>
      </c>
      <c r="AF118">
        <f t="shared" si="5"/>
        <v>0</v>
      </c>
      <c r="AG118">
        <f t="shared" si="6"/>
        <v>6.5209880808429783E-3</v>
      </c>
      <c r="AH118">
        <f t="shared" si="7"/>
        <v>0</v>
      </c>
      <c r="AI118">
        <f t="shared" si="8"/>
        <v>0</v>
      </c>
      <c r="AJ118">
        <f t="shared" si="9"/>
        <v>6.4787402926159525E-3</v>
      </c>
      <c r="AK118">
        <v>11830</v>
      </c>
      <c r="AL118">
        <v>11477</v>
      </c>
      <c r="AM118">
        <v>23307</v>
      </c>
      <c r="AN118" t="s">
        <v>43</v>
      </c>
      <c r="AO118">
        <v>0</v>
      </c>
    </row>
    <row r="119" spans="1:41" x14ac:dyDescent="0.2">
      <c r="A119" t="s">
        <v>188</v>
      </c>
      <c r="B119" s="4" t="str">
        <f t="shared" si="0"/>
        <v>16-5-5</v>
      </c>
      <c r="C119" t="s">
        <v>183</v>
      </c>
      <c r="D119" s="5" t="s">
        <v>184</v>
      </c>
      <c r="E119" t="s">
        <v>165</v>
      </c>
      <c r="F119">
        <v>16</v>
      </c>
      <c r="G119">
        <v>8183</v>
      </c>
      <c r="H119">
        <v>8962</v>
      </c>
      <c r="I119">
        <v>1035</v>
      </c>
      <c r="J119">
        <v>1398</v>
      </c>
      <c r="K119">
        <v>1</v>
      </c>
      <c r="L119">
        <v>8</v>
      </c>
      <c r="AA119">
        <v>4</v>
      </c>
      <c r="AB119">
        <v>4</v>
      </c>
      <c r="AC119">
        <f t="shared" si="2"/>
        <v>17145</v>
      </c>
      <c r="AD119">
        <f t="shared" si="3"/>
        <v>2442</v>
      </c>
      <c r="AE119">
        <f t="shared" si="4"/>
        <v>2442</v>
      </c>
      <c r="AF119">
        <f t="shared" si="5"/>
        <v>9</v>
      </c>
      <c r="AG119">
        <f t="shared" si="6"/>
        <v>0.14243219597550305</v>
      </c>
      <c r="AH119">
        <f t="shared" si="7"/>
        <v>5.2493438320209973E-4</v>
      </c>
      <c r="AI119">
        <f t="shared" si="8"/>
        <v>4.5930084205154378E-4</v>
      </c>
      <c r="AJ119">
        <f t="shared" si="9"/>
        <v>0.1246236284766522</v>
      </c>
      <c r="AK119">
        <v>9223</v>
      </c>
      <c r="AL119">
        <v>10372</v>
      </c>
      <c r="AM119">
        <v>19595</v>
      </c>
      <c r="AN119" t="s">
        <v>43</v>
      </c>
      <c r="AO119">
        <v>0</v>
      </c>
    </row>
    <row r="120" spans="1:41" x14ac:dyDescent="0.2">
      <c r="A120" t="s">
        <v>189</v>
      </c>
      <c r="B120" s="4" t="str">
        <f t="shared" si="0"/>
        <v>16-5-6</v>
      </c>
      <c r="C120" t="s">
        <v>183</v>
      </c>
      <c r="D120" s="5" t="s">
        <v>184</v>
      </c>
      <c r="E120" t="s">
        <v>165</v>
      </c>
      <c r="F120">
        <v>16</v>
      </c>
      <c r="G120">
        <v>12851</v>
      </c>
      <c r="H120">
        <v>14148</v>
      </c>
      <c r="I120">
        <v>2591</v>
      </c>
      <c r="J120">
        <v>2937</v>
      </c>
      <c r="K120">
        <v>4</v>
      </c>
      <c r="L120">
        <v>6</v>
      </c>
      <c r="Q120">
        <v>1</v>
      </c>
      <c r="R120">
        <v>4</v>
      </c>
      <c r="AA120">
        <v>95</v>
      </c>
      <c r="AB120">
        <v>99</v>
      </c>
      <c r="AC120">
        <f t="shared" si="2"/>
        <v>26999</v>
      </c>
      <c r="AD120">
        <f t="shared" si="3"/>
        <v>5538</v>
      </c>
      <c r="AE120">
        <f t="shared" si="4"/>
        <v>5543</v>
      </c>
      <c r="AF120">
        <f t="shared" si="5"/>
        <v>10</v>
      </c>
      <c r="AG120">
        <f t="shared" si="6"/>
        <v>0.2051187081003</v>
      </c>
      <c r="AH120">
        <f t="shared" si="7"/>
        <v>3.7038408829956663E-4</v>
      </c>
      <c r="AI120">
        <f t="shared" si="8"/>
        <v>3.0547409579667644E-4</v>
      </c>
      <c r="AJ120">
        <f t="shared" si="9"/>
        <v>0.1691715542521994</v>
      </c>
      <c r="AK120">
        <v>15542</v>
      </c>
      <c r="AL120">
        <v>17194</v>
      </c>
      <c r="AM120">
        <v>32736</v>
      </c>
      <c r="AN120" t="s">
        <v>43</v>
      </c>
      <c r="AO120">
        <v>0</v>
      </c>
    </row>
    <row r="121" spans="1:41" x14ac:dyDescent="0.2">
      <c r="A121" t="s">
        <v>190</v>
      </c>
      <c r="B121" s="4" t="str">
        <f t="shared" si="0"/>
        <v>16-5-7</v>
      </c>
      <c r="C121" t="s">
        <v>183</v>
      </c>
      <c r="D121" s="5" t="s">
        <v>184</v>
      </c>
      <c r="E121" t="s">
        <v>165</v>
      </c>
      <c r="F121">
        <v>16</v>
      </c>
      <c r="G121">
        <v>1485</v>
      </c>
      <c r="H121">
        <v>11585</v>
      </c>
      <c r="I121">
        <v>14462</v>
      </c>
      <c r="J121">
        <v>14703</v>
      </c>
      <c r="K121">
        <v>8</v>
      </c>
      <c r="L121">
        <v>10</v>
      </c>
      <c r="Q121">
        <v>154</v>
      </c>
      <c r="R121">
        <v>146</v>
      </c>
      <c r="AA121">
        <v>194</v>
      </c>
      <c r="AB121">
        <v>260</v>
      </c>
      <c r="AC121">
        <f t="shared" si="2"/>
        <v>13070</v>
      </c>
      <c r="AD121">
        <f t="shared" si="3"/>
        <v>29183</v>
      </c>
      <c r="AE121">
        <f t="shared" si="4"/>
        <v>29483</v>
      </c>
      <c r="AF121">
        <f t="shared" si="5"/>
        <v>18</v>
      </c>
      <c r="AG121">
        <f t="shared" si="6"/>
        <v>2.2328232593726089</v>
      </c>
      <c r="AH121">
        <f t="shared" si="7"/>
        <v>1.3771996939556236E-3</v>
      </c>
      <c r="AI121">
        <f t="shared" si="8"/>
        <v>5.453388675129518E-4</v>
      </c>
      <c r="AJ121">
        <f t="shared" si="9"/>
        <v>0.88414578725724846</v>
      </c>
      <c r="AK121">
        <v>16303</v>
      </c>
      <c r="AL121">
        <v>16704</v>
      </c>
      <c r="AM121">
        <v>33007</v>
      </c>
      <c r="AN121" t="s">
        <v>43</v>
      </c>
      <c r="AO121">
        <v>0</v>
      </c>
    </row>
    <row r="122" spans="1:41" x14ac:dyDescent="0.2">
      <c r="A122" t="s">
        <v>191</v>
      </c>
      <c r="B122" s="4" t="str">
        <f t="shared" si="0"/>
        <v>16-5-8</v>
      </c>
      <c r="C122" t="s">
        <v>183</v>
      </c>
      <c r="D122" s="5" t="s">
        <v>184</v>
      </c>
      <c r="E122" t="s">
        <v>165</v>
      </c>
      <c r="F122">
        <v>16</v>
      </c>
      <c r="G122">
        <v>11997</v>
      </c>
      <c r="H122">
        <v>11926</v>
      </c>
      <c r="I122">
        <v>855</v>
      </c>
      <c r="J122">
        <v>837</v>
      </c>
      <c r="K122">
        <v>5</v>
      </c>
      <c r="L122">
        <v>8</v>
      </c>
      <c r="N122">
        <v>5</v>
      </c>
      <c r="Q122">
        <v>3</v>
      </c>
      <c r="R122">
        <v>6</v>
      </c>
      <c r="AC122">
        <f t="shared" si="2"/>
        <v>23923</v>
      </c>
      <c r="AD122">
        <f t="shared" si="3"/>
        <v>1710</v>
      </c>
      <c r="AE122">
        <f t="shared" si="4"/>
        <v>1719</v>
      </c>
      <c r="AF122">
        <f t="shared" si="5"/>
        <v>13</v>
      </c>
      <c r="AG122">
        <f t="shared" si="6"/>
        <v>7.1479329515528989E-2</v>
      </c>
      <c r="AH122">
        <f t="shared" si="7"/>
        <v>5.4341010742799817E-4</v>
      </c>
      <c r="AI122">
        <f t="shared" si="8"/>
        <v>5.0698073473208016E-4</v>
      </c>
      <c r="AJ122">
        <f t="shared" si="9"/>
        <v>6.6687465876296703E-2</v>
      </c>
      <c r="AK122">
        <v>12860</v>
      </c>
      <c r="AL122">
        <v>12782</v>
      </c>
      <c r="AM122">
        <v>25642</v>
      </c>
      <c r="AN122" t="s">
        <v>43</v>
      </c>
      <c r="AO122">
        <v>0</v>
      </c>
    </row>
    <row r="123" spans="1:41" x14ac:dyDescent="0.2">
      <c r="A123" t="s">
        <v>192</v>
      </c>
      <c r="B123" s="4" t="str">
        <f t="shared" si="0"/>
        <v>16-5-9</v>
      </c>
      <c r="C123" t="s">
        <v>183</v>
      </c>
      <c r="D123" s="5" t="s">
        <v>184</v>
      </c>
      <c r="E123" t="s">
        <v>165</v>
      </c>
      <c r="F123">
        <v>16</v>
      </c>
      <c r="G123">
        <v>11650</v>
      </c>
      <c r="H123">
        <v>11604</v>
      </c>
      <c r="I123">
        <v>400</v>
      </c>
      <c r="J123">
        <v>437</v>
      </c>
      <c r="AC123">
        <f t="shared" si="2"/>
        <v>23254</v>
      </c>
      <c r="AD123">
        <f t="shared" si="3"/>
        <v>837</v>
      </c>
      <c r="AE123">
        <f t="shared" si="4"/>
        <v>837</v>
      </c>
      <c r="AF123">
        <f t="shared" si="5"/>
        <v>0</v>
      </c>
      <c r="AG123">
        <f t="shared" si="6"/>
        <v>3.5993807516986324E-2</v>
      </c>
      <c r="AH123">
        <f t="shared" si="7"/>
        <v>0</v>
      </c>
      <c r="AI123">
        <f t="shared" si="8"/>
        <v>0</v>
      </c>
      <c r="AJ123">
        <f t="shared" si="9"/>
        <v>3.4743265119754264E-2</v>
      </c>
      <c r="AK123">
        <v>12050</v>
      </c>
      <c r="AL123">
        <v>12041</v>
      </c>
      <c r="AM123">
        <v>24091</v>
      </c>
      <c r="AN123" t="s">
        <v>43</v>
      </c>
      <c r="AO123">
        <v>0</v>
      </c>
    </row>
    <row r="124" spans="1:41" x14ac:dyDescent="0.2">
      <c r="A124" t="s">
        <v>193</v>
      </c>
      <c r="B124" s="4" t="str">
        <f t="shared" si="0"/>
        <v>16-3-1</v>
      </c>
      <c r="C124" t="s">
        <v>194</v>
      </c>
      <c r="D124" s="5" t="s">
        <v>195</v>
      </c>
      <c r="E124" t="s">
        <v>165</v>
      </c>
      <c r="F124">
        <v>16</v>
      </c>
      <c r="G124">
        <v>27470</v>
      </c>
      <c r="H124">
        <v>28608</v>
      </c>
      <c r="I124">
        <v>308</v>
      </c>
      <c r="J124">
        <v>512</v>
      </c>
      <c r="K124">
        <v>568</v>
      </c>
      <c r="L124">
        <v>604</v>
      </c>
      <c r="N124">
        <v>3</v>
      </c>
      <c r="O124">
        <v>81</v>
      </c>
      <c r="P124">
        <v>108</v>
      </c>
      <c r="Q124">
        <v>12</v>
      </c>
      <c r="R124">
        <v>40</v>
      </c>
      <c r="AA124">
        <v>5</v>
      </c>
      <c r="AB124">
        <v>76</v>
      </c>
      <c r="AC124">
        <f t="shared" si="2"/>
        <v>56078</v>
      </c>
      <c r="AD124">
        <f t="shared" si="3"/>
        <v>2184</v>
      </c>
      <c r="AE124">
        <f t="shared" si="4"/>
        <v>2236</v>
      </c>
      <c r="AF124">
        <f t="shared" si="5"/>
        <v>1172</v>
      </c>
      <c r="AG124">
        <f t="shared" si="6"/>
        <v>3.8945754128178606E-2</v>
      </c>
      <c r="AH124">
        <f t="shared" si="7"/>
        <v>2.0899461464388886E-2</v>
      </c>
      <c r="AI124">
        <f t="shared" si="8"/>
        <v>2.0070211490709821E-2</v>
      </c>
      <c r="AJ124">
        <f t="shared" si="9"/>
        <v>3.7400462368353454E-2</v>
      </c>
      <c r="AK124">
        <v>28444</v>
      </c>
      <c r="AL124">
        <v>29951</v>
      </c>
      <c r="AM124">
        <v>58395</v>
      </c>
      <c r="AN124" t="s">
        <v>43</v>
      </c>
      <c r="AO124">
        <v>0</v>
      </c>
    </row>
    <row r="125" spans="1:41" x14ac:dyDescent="0.2">
      <c r="A125" t="s">
        <v>196</v>
      </c>
      <c r="B125" s="4" t="str">
        <f t="shared" si="0"/>
        <v>16-3-2</v>
      </c>
      <c r="C125" t="s">
        <v>194</v>
      </c>
      <c r="D125" s="5" t="s">
        <v>195</v>
      </c>
      <c r="E125" t="s">
        <v>165</v>
      </c>
      <c r="F125">
        <v>16</v>
      </c>
      <c r="G125">
        <v>16932</v>
      </c>
      <c r="H125">
        <v>15966</v>
      </c>
      <c r="AC125">
        <f t="shared" si="2"/>
        <v>32898</v>
      </c>
      <c r="AD125">
        <f t="shared" si="3"/>
        <v>0</v>
      </c>
      <c r="AE125">
        <f t="shared" si="4"/>
        <v>0</v>
      </c>
      <c r="AF125">
        <f t="shared" si="5"/>
        <v>0</v>
      </c>
      <c r="AG125">
        <f t="shared" si="6"/>
        <v>0</v>
      </c>
      <c r="AH125">
        <f t="shared" si="7"/>
        <v>0</v>
      </c>
      <c r="AI125">
        <f t="shared" si="8"/>
        <v>0</v>
      </c>
      <c r="AJ125">
        <f t="shared" si="9"/>
        <v>0</v>
      </c>
      <c r="AK125">
        <v>16932</v>
      </c>
      <c r="AL125">
        <v>15966</v>
      </c>
      <c r="AM125">
        <v>32898</v>
      </c>
      <c r="AN125" t="s">
        <v>43</v>
      </c>
      <c r="AO125">
        <v>0</v>
      </c>
    </row>
    <row r="126" spans="1:41" x14ac:dyDescent="0.2">
      <c r="A126" t="s">
        <v>197</v>
      </c>
      <c r="B126" s="4" t="str">
        <f t="shared" si="0"/>
        <v>16-3-3</v>
      </c>
      <c r="C126" t="s">
        <v>194</v>
      </c>
      <c r="D126" s="5" t="s">
        <v>195</v>
      </c>
      <c r="E126" t="s">
        <v>165</v>
      </c>
      <c r="F126">
        <v>16</v>
      </c>
      <c r="G126">
        <v>58853</v>
      </c>
      <c r="H126">
        <v>56532</v>
      </c>
      <c r="I126">
        <v>2245</v>
      </c>
      <c r="J126">
        <v>2157</v>
      </c>
      <c r="K126">
        <v>1443</v>
      </c>
      <c r="L126">
        <v>1365</v>
      </c>
      <c r="O126">
        <v>432</v>
      </c>
      <c r="P126">
        <v>341</v>
      </c>
      <c r="AC126">
        <f t="shared" si="2"/>
        <v>115385</v>
      </c>
      <c r="AD126">
        <f t="shared" si="3"/>
        <v>7983</v>
      </c>
      <c r="AE126">
        <f t="shared" si="4"/>
        <v>7983</v>
      </c>
      <c r="AF126">
        <f t="shared" si="5"/>
        <v>2808</v>
      </c>
      <c r="AG126">
        <f t="shared" si="6"/>
        <v>6.918576938076873E-2</v>
      </c>
      <c r="AH126">
        <f t="shared" si="7"/>
        <v>2.43359188802704E-2</v>
      </c>
      <c r="AI126">
        <f t="shared" si="8"/>
        <v>2.2761169833344141E-2</v>
      </c>
      <c r="AJ126">
        <f t="shared" si="9"/>
        <v>6.4708838596718762E-2</v>
      </c>
      <c r="AK126">
        <v>62973</v>
      </c>
      <c r="AL126">
        <v>60395</v>
      </c>
      <c r="AM126">
        <v>123368</v>
      </c>
      <c r="AN126" t="s">
        <v>43</v>
      </c>
      <c r="AO126">
        <v>1</v>
      </c>
    </row>
    <row r="127" spans="1:41" x14ac:dyDescent="0.2">
      <c r="A127" t="s">
        <v>198</v>
      </c>
      <c r="B127" s="4" t="str">
        <f t="shared" si="0"/>
        <v>16-3-4</v>
      </c>
      <c r="C127" t="s">
        <v>194</v>
      </c>
      <c r="D127" s="5" t="s">
        <v>195</v>
      </c>
      <c r="E127" t="s">
        <v>165</v>
      </c>
      <c r="F127">
        <v>16</v>
      </c>
      <c r="G127">
        <v>16606</v>
      </c>
      <c r="H127">
        <v>15930</v>
      </c>
      <c r="I127">
        <v>15</v>
      </c>
      <c r="J127">
        <v>60</v>
      </c>
      <c r="K127">
        <v>2</v>
      </c>
      <c r="L127">
        <v>7</v>
      </c>
      <c r="O127">
        <v>2</v>
      </c>
      <c r="P127">
        <v>2</v>
      </c>
      <c r="AC127">
        <f t="shared" si="2"/>
        <v>32536</v>
      </c>
      <c r="AD127">
        <f t="shared" si="3"/>
        <v>88</v>
      </c>
      <c r="AE127">
        <f t="shared" si="4"/>
        <v>88</v>
      </c>
      <c r="AF127">
        <f t="shared" si="5"/>
        <v>9</v>
      </c>
      <c r="AG127">
        <f t="shared" si="6"/>
        <v>2.7046963363658717E-3</v>
      </c>
      <c r="AH127">
        <f t="shared" si="7"/>
        <v>2.7661667076469144E-4</v>
      </c>
      <c r="AI127">
        <f t="shared" si="8"/>
        <v>2.7587052476704265E-4</v>
      </c>
      <c r="AJ127">
        <f t="shared" si="9"/>
        <v>2.6974006866110839E-3</v>
      </c>
      <c r="AK127">
        <v>16225</v>
      </c>
      <c r="AL127">
        <v>15999</v>
      </c>
      <c r="AM127">
        <v>32624</v>
      </c>
      <c r="AN127" t="s">
        <v>43</v>
      </c>
      <c r="AO127">
        <v>0</v>
      </c>
    </row>
    <row r="128" spans="1:41" x14ac:dyDescent="0.2">
      <c r="A128" t="s">
        <v>199</v>
      </c>
      <c r="B128" s="4" t="str">
        <f t="shared" si="0"/>
        <v>16-3-5</v>
      </c>
      <c r="C128" t="s">
        <v>194</v>
      </c>
      <c r="D128" s="5" t="s">
        <v>195</v>
      </c>
      <c r="E128" t="s">
        <v>165</v>
      </c>
      <c r="F128">
        <v>16</v>
      </c>
      <c r="G128">
        <v>37070</v>
      </c>
      <c r="H128">
        <v>34535</v>
      </c>
      <c r="I128">
        <v>725</v>
      </c>
      <c r="J128">
        <v>707</v>
      </c>
      <c r="K128">
        <v>340</v>
      </c>
      <c r="L128">
        <v>320</v>
      </c>
      <c r="AA128">
        <v>14</v>
      </c>
      <c r="AB128">
        <v>8</v>
      </c>
      <c r="AC128">
        <f t="shared" si="2"/>
        <v>71605</v>
      </c>
      <c r="AD128">
        <f t="shared" si="3"/>
        <v>2092</v>
      </c>
      <c r="AE128">
        <f t="shared" si="4"/>
        <v>2092</v>
      </c>
      <c r="AF128">
        <f t="shared" si="5"/>
        <v>660</v>
      </c>
      <c r="AG128">
        <f t="shared" si="6"/>
        <v>2.9215836882899238E-2</v>
      </c>
      <c r="AH128">
        <f t="shared" si="7"/>
        <v>9.2172334334194531E-3</v>
      </c>
      <c r="AI128">
        <f t="shared" si="8"/>
        <v>8.9529158018963901E-3</v>
      </c>
      <c r="AJ128">
        <f t="shared" si="9"/>
        <v>2.8378030087223102E-2</v>
      </c>
      <c r="AK128">
        <v>38149</v>
      </c>
      <c r="AL128">
        <v>35570</v>
      </c>
      <c r="AM128">
        <v>73719</v>
      </c>
      <c r="AN128" t="s">
        <v>43</v>
      </c>
      <c r="AO128">
        <v>0</v>
      </c>
    </row>
    <row r="129" spans="1:41" x14ac:dyDescent="0.2">
      <c r="A129" t="s">
        <v>200</v>
      </c>
      <c r="B129" s="4" t="str">
        <f t="shared" si="0"/>
        <v>21-1-1</v>
      </c>
      <c r="C129" t="s">
        <v>201</v>
      </c>
      <c r="D129" s="5" t="str">
        <f t="shared" ref="D129:D133" si="27">F129&amp;"-"&amp;1</f>
        <v>21-1</v>
      </c>
      <c r="E129" t="s">
        <v>202</v>
      </c>
      <c r="F129">
        <v>21</v>
      </c>
      <c r="G129">
        <v>4524</v>
      </c>
      <c r="H129">
        <v>5262</v>
      </c>
      <c r="K129">
        <v>148</v>
      </c>
      <c r="L129">
        <v>175</v>
      </c>
      <c r="O129">
        <v>74</v>
      </c>
      <c r="P129">
        <v>88</v>
      </c>
      <c r="S129">
        <v>69</v>
      </c>
      <c r="T129">
        <v>78</v>
      </c>
      <c r="W129">
        <v>48</v>
      </c>
      <c r="X129">
        <v>51</v>
      </c>
      <c r="AC129">
        <f t="shared" si="2"/>
        <v>9786</v>
      </c>
      <c r="AD129">
        <f t="shared" si="3"/>
        <v>731</v>
      </c>
      <c r="AE129">
        <f t="shared" si="4"/>
        <v>731</v>
      </c>
      <c r="AF129">
        <f t="shared" si="5"/>
        <v>323</v>
      </c>
      <c r="AG129">
        <f t="shared" si="6"/>
        <v>7.469854894747599E-2</v>
      </c>
      <c r="AH129">
        <f t="shared" si="7"/>
        <v>3.3006335581442878E-2</v>
      </c>
      <c r="AI129">
        <f t="shared" si="8"/>
        <v>3.0712180279547398E-2</v>
      </c>
      <c r="AJ129">
        <f t="shared" si="9"/>
        <v>6.9506513264238845E-2</v>
      </c>
      <c r="AK129">
        <v>4863</v>
      </c>
      <c r="AL129">
        <v>5654</v>
      </c>
      <c r="AM129">
        <v>10517</v>
      </c>
      <c r="AN129" t="s">
        <v>43</v>
      </c>
      <c r="AO129">
        <v>0</v>
      </c>
    </row>
    <row r="130" spans="1:41" x14ac:dyDescent="0.2">
      <c r="A130" t="s">
        <v>203</v>
      </c>
      <c r="B130" s="4" t="str">
        <f t="shared" si="0"/>
        <v>21-1-2</v>
      </c>
      <c r="C130" t="s">
        <v>201</v>
      </c>
      <c r="D130" s="5" t="str">
        <f t="shared" si="27"/>
        <v>21-1</v>
      </c>
      <c r="E130" t="s">
        <v>202</v>
      </c>
      <c r="F130">
        <v>21</v>
      </c>
      <c r="G130">
        <v>22280</v>
      </c>
      <c r="H130">
        <v>20388</v>
      </c>
      <c r="I130">
        <v>80</v>
      </c>
      <c r="J130">
        <v>112</v>
      </c>
      <c r="K130">
        <v>5772</v>
      </c>
      <c r="L130">
        <v>6311</v>
      </c>
      <c r="O130">
        <v>1194</v>
      </c>
      <c r="P130">
        <v>1366</v>
      </c>
      <c r="Q130">
        <v>132</v>
      </c>
      <c r="R130">
        <v>153</v>
      </c>
      <c r="S130">
        <v>473</v>
      </c>
      <c r="T130">
        <v>510</v>
      </c>
      <c r="W130">
        <v>1969</v>
      </c>
      <c r="X130">
        <v>2077</v>
      </c>
      <c r="Y130">
        <v>25</v>
      </c>
      <c r="Z130">
        <v>28</v>
      </c>
      <c r="AC130">
        <f t="shared" si="2"/>
        <v>42668</v>
      </c>
      <c r="AD130">
        <f t="shared" si="3"/>
        <v>19864</v>
      </c>
      <c r="AE130">
        <f t="shared" si="4"/>
        <v>20149</v>
      </c>
      <c r="AF130">
        <f t="shared" si="5"/>
        <v>12083</v>
      </c>
      <c r="AG130">
        <f t="shared" si="6"/>
        <v>0.46554795162651169</v>
      </c>
      <c r="AH130">
        <f t="shared" si="7"/>
        <v>0.28318646292303368</v>
      </c>
      <c r="AI130">
        <f t="shared" si="8"/>
        <v>0.19219023381581041</v>
      </c>
      <c r="AJ130">
        <f t="shared" si="9"/>
        <v>0.31595355495466837</v>
      </c>
      <c r="AK130">
        <v>31925</v>
      </c>
      <c r="AL130">
        <v>30945</v>
      </c>
      <c r="AM130">
        <v>62870</v>
      </c>
      <c r="AN130" t="s">
        <v>43</v>
      </c>
      <c r="AO130" s="6">
        <v>1</v>
      </c>
    </row>
    <row r="131" spans="1:41" x14ac:dyDescent="0.2">
      <c r="A131" t="s">
        <v>204</v>
      </c>
      <c r="B131" s="4" t="str">
        <f t="shared" si="0"/>
        <v>21-1-3</v>
      </c>
      <c r="C131" t="s">
        <v>201</v>
      </c>
      <c r="D131" s="5" t="str">
        <f t="shared" si="27"/>
        <v>21-1</v>
      </c>
      <c r="E131" t="s">
        <v>202</v>
      </c>
      <c r="F131">
        <v>21</v>
      </c>
      <c r="G131">
        <v>8785</v>
      </c>
      <c r="H131">
        <v>10284</v>
      </c>
      <c r="K131">
        <v>2171</v>
      </c>
      <c r="L131">
        <v>2476</v>
      </c>
      <c r="S131">
        <v>143</v>
      </c>
      <c r="T131">
        <v>148</v>
      </c>
      <c r="W131">
        <v>348</v>
      </c>
      <c r="X131">
        <v>444</v>
      </c>
      <c r="AC131">
        <f t="shared" si="2"/>
        <v>19069</v>
      </c>
      <c r="AD131">
        <f t="shared" si="3"/>
        <v>5730</v>
      </c>
      <c r="AE131">
        <f t="shared" si="4"/>
        <v>5730</v>
      </c>
      <c r="AF131">
        <f t="shared" si="5"/>
        <v>4647</v>
      </c>
      <c r="AG131">
        <f t="shared" si="6"/>
        <v>0.30048770255388324</v>
      </c>
      <c r="AH131">
        <f t="shared" si="7"/>
        <v>0.24369395353715453</v>
      </c>
      <c r="AI131">
        <f t="shared" si="8"/>
        <v>0.18738658816887777</v>
      </c>
      <c r="AJ131">
        <f t="shared" si="9"/>
        <v>0.23105770393967498</v>
      </c>
      <c r="AK131">
        <v>11447</v>
      </c>
      <c r="AL131">
        <v>13352</v>
      </c>
      <c r="AM131">
        <v>24799</v>
      </c>
      <c r="AN131" t="s">
        <v>43</v>
      </c>
      <c r="AO131">
        <v>0</v>
      </c>
    </row>
    <row r="132" spans="1:41" x14ac:dyDescent="0.2">
      <c r="A132" t="s">
        <v>205</v>
      </c>
      <c r="B132" s="4" t="str">
        <f t="shared" si="0"/>
        <v>21-1-4</v>
      </c>
      <c r="C132" t="s">
        <v>201</v>
      </c>
      <c r="D132" s="5" t="str">
        <f t="shared" si="27"/>
        <v>21-1</v>
      </c>
      <c r="E132" t="s">
        <v>202</v>
      </c>
      <c r="F132">
        <v>21</v>
      </c>
      <c r="G132">
        <v>5186</v>
      </c>
      <c r="H132">
        <v>6189</v>
      </c>
      <c r="I132">
        <v>78</v>
      </c>
      <c r="J132">
        <v>84</v>
      </c>
      <c r="K132">
        <v>3049</v>
      </c>
      <c r="L132">
        <v>3511</v>
      </c>
      <c r="O132">
        <v>69</v>
      </c>
      <c r="P132">
        <v>83</v>
      </c>
      <c r="S132">
        <v>24</v>
      </c>
      <c r="T132">
        <v>21</v>
      </c>
      <c r="W132">
        <v>239</v>
      </c>
      <c r="X132">
        <v>285</v>
      </c>
      <c r="AC132">
        <f t="shared" si="2"/>
        <v>11375</v>
      </c>
      <c r="AD132">
        <f t="shared" si="3"/>
        <v>7443</v>
      </c>
      <c r="AE132">
        <f t="shared" si="4"/>
        <v>7443</v>
      </c>
      <c r="AF132">
        <f t="shared" si="5"/>
        <v>6560</v>
      </c>
      <c r="AG132">
        <f t="shared" si="6"/>
        <v>0.65432967032967038</v>
      </c>
      <c r="AH132">
        <f t="shared" si="7"/>
        <v>0.57670329670329668</v>
      </c>
      <c r="AI132">
        <f t="shared" si="8"/>
        <v>0.34860240195557446</v>
      </c>
      <c r="AJ132">
        <f t="shared" si="9"/>
        <v>0.39552556063343608</v>
      </c>
      <c r="AK132">
        <v>8645</v>
      </c>
      <c r="AL132">
        <v>10173</v>
      </c>
      <c r="AM132">
        <v>18818</v>
      </c>
      <c r="AN132" t="s">
        <v>43</v>
      </c>
      <c r="AO132">
        <v>0</v>
      </c>
    </row>
    <row r="133" spans="1:41" x14ac:dyDescent="0.2">
      <c r="A133" t="s">
        <v>206</v>
      </c>
      <c r="B133" s="4" t="str">
        <f t="shared" si="0"/>
        <v>21-1-5</v>
      </c>
      <c r="C133" t="s">
        <v>201</v>
      </c>
      <c r="D133" s="5" t="str">
        <f t="shared" si="27"/>
        <v>21-1</v>
      </c>
      <c r="E133" t="s">
        <v>202</v>
      </c>
      <c r="F133">
        <v>21</v>
      </c>
      <c r="G133">
        <v>13514</v>
      </c>
      <c r="H133">
        <v>14957</v>
      </c>
      <c r="K133">
        <v>726</v>
      </c>
      <c r="L133">
        <v>675</v>
      </c>
      <c r="O133">
        <v>50</v>
      </c>
      <c r="P133">
        <v>21</v>
      </c>
      <c r="Q133">
        <v>70</v>
      </c>
      <c r="R133">
        <v>39</v>
      </c>
      <c r="S133">
        <v>112</v>
      </c>
      <c r="T133">
        <v>101</v>
      </c>
      <c r="W133">
        <v>261</v>
      </c>
      <c r="X133">
        <v>187</v>
      </c>
      <c r="AC133">
        <f t="shared" si="2"/>
        <v>28471</v>
      </c>
      <c r="AD133">
        <f t="shared" si="3"/>
        <v>2133</v>
      </c>
      <c r="AE133">
        <f t="shared" si="4"/>
        <v>2242</v>
      </c>
      <c r="AF133">
        <f t="shared" si="5"/>
        <v>1401</v>
      </c>
      <c r="AG133">
        <f t="shared" si="6"/>
        <v>7.491833795792209E-2</v>
      </c>
      <c r="AH133">
        <f t="shared" si="7"/>
        <v>4.920796600049173E-2</v>
      </c>
      <c r="AI133">
        <f t="shared" si="8"/>
        <v>4.5615862989613516E-2</v>
      </c>
      <c r="AJ133">
        <f t="shared" si="9"/>
        <v>6.944941881288054E-2</v>
      </c>
      <c r="AK133">
        <v>14733</v>
      </c>
      <c r="AL133">
        <v>15980</v>
      </c>
      <c r="AM133">
        <v>30713</v>
      </c>
      <c r="AN133" t="s">
        <v>43</v>
      </c>
      <c r="AO133">
        <v>0</v>
      </c>
    </row>
    <row r="134" spans="1:41" x14ac:dyDescent="0.2">
      <c r="A134" t="s">
        <v>207</v>
      </c>
      <c r="B134" s="4" t="str">
        <f t="shared" si="0"/>
        <v>21-3-1</v>
      </c>
      <c r="C134" t="s">
        <v>208</v>
      </c>
      <c r="D134" s="5" t="str">
        <f t="shared" ref="D134:D136" si="28">F134&amp;"-"&amp;3</f>
        <v>21-3</v>
      </c>
      <c r="E134" t="s">
        <v>202</v>
      </c>
      <c r="F134">
        <v>21</v>
      </c>
      <c r="G134">
        <v>11050</v>
      </c>
      <c r="H134">
        <v>13363</v>
      </c>
      <c r="K134">
        <v>2330</v>
      </c>
      <c r="L134">
        <v>2614</v>
      </c>
      <c r="O134">
        <v>200</v>
      </c>
      <c r="P134">
        <v>211</v>
      </c>
      <c r="Q134">
        <v>128</v>
      </c>
      <c r="R134">
        <v>119</v>
      </c>
      <c r="S134">
        <v>477</v>
      </c>
      <c r="T134">
        <v>430</v>
      </c>
      <c r="AC134">
        <f t="shared" si="2"/>
        <v>24413</v>
      </c>
      <c r="AD134">
        <f t="shared" si="3"/>
        <v>6262</v>
      </c>
      <c r="AE134">
        <f t="shared" si="4"/>
        <v>6509</v>
      </c>
      <c r="AF134">
        <f t="shared" si="5"/>
        <v>4944</v>
      </c>
      <c r="AG134">
        <f t="shared" si="6"/>
        <v>0.25650268299676404</v>
      </c>
      <c r="AH134">
        <f t="shared" si="7"/>
        <v>0.20251505345512635</v>
      </c>
      <c r="AI134">
        <f t="shared" si="8"/>
        <v>0.15988616518983248</v>
      </c>
      <c r="AJ134">
        <f t="shared" si="9"/>
        <v>0.20250954013323846</v>
      </c>
      <c r="AK134">
        <v>14185</v>
      </c>
      <c r="AL134">
        <v>16737</v>
      </c>
      <c r="AM134">
        <v>30922</v>
      </c>
      <c r="AN134" t="s">
        <v>43</v>
      </c>
      <c r="AO134">
        <v>0</v>
      </c>
    </row>
    <row r="135" spans="1:41" x14ac:dyDescent="0.2">
      <c r="A135" t="s">
        <v>209</v>
      </c>
      <c r="B135" s="4" t="str">
        <f t="shared" si="0"/>
        <v>21-3-2</v>
      </c>
      <c r="C135" t="s">
        <v>208</v>
      </c>
      <c r="D135" s="5" t="str">
        <f t="shared" si="28"/>
        <v>21-3</v>
      </c>
      <c r="E135" t="s">
        <v>202</v>
      </c>
      <c r="F135">
        <v>21</v>
      </c>
      <c r="G135">
        <v>18976</v>
      </c>
      <c r="H135">
        <v>20053</v>
      </c>
      <c r="I135">
        <v>372</v>
      </c>
      <c r="J135">
        <v>440</v>
      </c>
      <c r="K135">
        <v>1729</v>
      </c>
      <c r="L135">
        <v>2250</v>
      </c>
      <c r="N135">
        <v>7</v>
      </c>
      <c r="O135">
        <v>165</v>
      </c>
      <c r="P135">
        <v>132</v>
      </c>
      <c r="S135">
        <v>27</v>
      </c>
      <c r="T135">
        <v>23</v>
      </c>
      <c r="Y135">
        <v>39</v>
      </c>
      <c r="Z135">
        <v>33</v>
      </c>
      <c r="AC135">
        <f t="shared" si="2"/>
        <v>39029</v>
      </c>
      <c r="AD135">
        <f t="shared" si="3"/>
        <v>5145</v>
      </c>
      <c r="AE135">
        <f t="shared" si="4"/>
        <v>5145</v>
      </c>
      <c r="AF135">
        <f t="shared" si="5"/>
        <v>3979</v>
      </c>
      <c r="AG135">
        <f t="shared" si="6"/>
        <v>0.13182505316559481</v>
      </c>
      <c r="AH135">
        <f t="shared" si="7"/>
        <v>0.1019498321760742</v>
      </c>
      <c r="AI135">
        <f t="shared" si="8"/>
        <v>8.9929033132938568E-2</v>
      </c>
      <c r="AJ135">
        <f t="shared" si="9"/>
        <v>0.11628169778059033</v>
      </c>
      <c r="AK135">
        <v>21308</v>
      </c>
      <c r="AL135">
        <v>22938</v>
      </c>
      <c r="AM135">
        <v>44246</v>
      </c>
      <c r="AN135" t="s">
        <v>43</v>
      </c>
      <c r="AO135" s="6">
        <v>1</v>
      </c>
    </row>
    <row r="136" spans="1:41" x14ac:dyDescent="0.2">
      <c r="A136" t="s">
        <v>210</v>
      </c>
      <c r="B136" s="4" t="str">
        <f t="shared" si="0"/>
        <v>21-3-3</v>
      </c>
      <c r="C136" t="s">
        <v>208</v>
      </c>
      <c r="D136" s="5" t="str">
        <f t="shared" si="28"/>
        <v>21-3</v>
      </c>
      <c r="E136" t="s">
        <v>202</v>
      </c>
      <c r="F136">
        <v>21</v>
      </c>
      <c r="G136">
        <v>17035</v>
      </c>
      <c r="H136">
        <v>20588</v>
      </c>
      <c r="K136">
        <v>6104</v>
      </c>
      <c r="L136">
        <v>6729</v>
      </c>
      <c r="S136">
        <v>164</v>
      </c>
      <c r="T136">
        <v>201</v>
      </c>
      <c r="Y136">
        <v>18</v>
      </c>
      <c r="Z136">
        <v>20</v>
      </c>
      <c r="AC136">
        <f t="shared" si="2"/>
        <v>37623</v>
      </c>
      <c r="AD136">
        <f t="shared" si="3"/>
        <v>13198</v>
      </c>
      <c r="AE136">
        <f t="shared" si="4"/>
        <v>13198</v>
      </c>
      <c r="AF136">
        <f t="shared" si="5"/>
        <v>12833</v>
      </c>
      <c r="AG136">
        <f t="shared" si="6"/>
        <v>0.35079605560428462</v>
      </c>
      <c r="AH136">
        <f t="shared" si="7"/>
        <v>0.34109454323153388</v>
      </c>
      <c r="AI136">
        <f t="shared" si="8"/>
        <v>0.25232505554572443</v>
      </c>
      <c r="AJ136">
        <f t="shared" si="9"/>
        <v>0.25950175976719952</v>
      </c>
      <c r="AK136">
        <v>23321</v>
      </c>
      <c r="AL136">
        <v>27538</v>
      </c>
      <c r="AM136">
        <v>50859</v>
      </c>
      <c r="AN136" t="s">
        <v>43</v>
      </c>
      <c r="AO136">
        <v>0</v>
      </c>
    </row>
    <row r="137" spans="1:41" x14ac:dyDescent="0.2">
      <c r="A137" t="s">
        <v>211</v>
      </c>
      <c r="B137" s="4" t="str">
        <f t="shared" si="0"/>
        <v>21-2-1</v>
      </c>
      <c r="C137" t="s">
        <v>212</v>
      </c>
      <c r="D137" s="5" t="str">
        <f t="shared" ref="D137:D141" si="29">F137&amp;"-"&amp;2</f>
        <v>21-2</v>
      </c>
      <c r="E137" t="s">
        <v>202</v>
      </c>
      <c r="F137">
        <v>21</v>
      </c>
      <c r="G137">
        <v>10112</v>
      </c>
      <c r="H137">
        <v>11788</v>
      </c>
      <c r="O137">
        <v>51</v>
      </c>
      <c r="P137">
        <v>70</v>
      </c>
      <c r="S137">
        <v>63</v>
      </c>
      <c r="T137">
        <v>79</v>
      </c>
      <c r="W137">
        <v>260</v>
      </c>
      <c r="X137">
        <v>318</v>
      </c>
      <c r="AC137">
        <f t="shared" si="2"/>
        <v>21900</v>
      </c>
      <c r="AD137">
        <f t="shared" si="3"/>
        <v>841</v>
      </c>
      <c r="AE137">
        <f t="shared" si="4"/>
        <v>841</v>
      </c>
      <c r="AF137">
        <f t="shared" si="5"/>
        <v>0</v>
      </c>
      <c r="AG137">
        <f t="shared" si="6"/>
        <v>3.8401826484018263E-2</v>
      </c>
      <c r="AH137">
        <f t="shared" si="7"/>
        <v>0</v>
      </c>
      <c r="AI137">
        <f t="shared" si="8"/>
        <v>0</v>
      </c>
      <c r="AJ137">
        <f t="shared" si="9"/>
        <v>3.6981663075502394E-2</v>
      </c>
      <c r="AK137">
        <v>10486</v>
      </c>
      <c r="AL137">
        <v>12255</v>
      </c>
      <c r="AM137">
        <v>22741</v>
      </c>
      <c r="AN137" t="s">
        <v>43</v>
      </c>
      <c r="AO137">
        <v>0</v>
      </c>
    </row>
    <row r="138" spans="1:41" x14ac:dyDescent="0.2">
      <c r="A138" t="s">
        <v>213</v>
      </c>
      <c r="B138" s="4" t="str">
        <f t="shared" si="0"/>
        <v>21-2-2</v>
      </c>
      <c r="C138" t="s">
        <v>212</v>
      </c>
      <c r="D138" s="5" t="str">
        <f t="shared" si="29"/>
        <v>21-2</v>
      </c>
      <c r="E138" t="s">
        <v>202</v>
      </c>
      <c r="F138">
        <v>21</v>
      </c>
      <c r="G138">
        <v>3168</v>
      </c>
      <c r="H138">
        <v>2867</v>
      </c>
      <c r="O138">
        <v>790</v>
      </c>
      <c r="P138">
        <v>791</v>
      </c>
      <c r="Q138">
        <v>85</v>
      </c>
      <c r="R138">
        <v>64</v>
      </c>
      <c r="S138">
        <v>24</v>
      </c>
      <c r="T138">
        <v>36</v>
      </c>
      <c r="W138">
        <v>103</v>
      </c>
      <c r="X138">
        <v>94</v>
      </c>
      <c r="AC138">
        <f t="shared" si="2"/>
        <v>6035</v>
      </c>
      <c r="AD138">
        <f t="shared" si="3"/>
        <v>1838</v>
      </c>
      <c r="AE138">
        <f t="shared" si="4"/>
        <v>1987</v>
      </c>
      <c r="AF138">
        <f t="shared" si="5"/>
        <v>0</v>
      </c>
      <c r="AG138">
        <f t="shared" si="6"/>
        <v>0.30455675227837614</v>
      </c>
      <c r="AH138">
        <f t="shared" si="7"/>
        <v>0</v>
      </c>
      <c r="AI138">
        <f t="shared" si="8"/>
        <v>0</v>
      </c>
      <c r="AJ138">
        <f t="shared" si="9"/>
        <v>0.22911992021939667</v>
      </c>
      <c r="AK138">
        <v>4170</v>
      </c>
      <c r="AL138">
        <v>3852</v>
      </c>
      <c r="AM138">
        <v>8022</v>
      </c>
      <c r="AN138" t="s">
        <v>43</v>
      </c>
      <c r="AO138">
        <v>0</v>
      </c>
    </row>
    <row r="139" spans="1:41" x14ac:dyDescent="0.2">
      <c r="A139" t="s">
        <v>214</v>
      </c>
      <c r="B139" s="4" t="str">
        <f t="shared" si="0"/>
        <v>21-2-3</v>
      </c>
      <c r="C139" t="s">
        <v>212</v>
      </c>
      <c r="D139" s="5" t="str">
        <f t="shared" si="29"/>
        <v>21-2</v>
      </c>
      <c r="E139" t="s">
        <v>202</v>
      </c>
      <c r="F139">
        <v>21</v>
      </c>
      <c r="G139">
        <v>11266</v>
      </c>
      <c r="H139">
        <v>11292</v>
      </c>
      <c r="O139">
        <v>1994</v>
      </c>
      <c r="P139">
        <v>2233</v>
      </c>
      <c r="S139">
        <v>218</v>
      </c>
      <c r="T139">
        <v>214</v>
      </c>
      <c r="W139">
        <v>1646</v>
      </c>
      <c r="X139">
        <v>1913</v>
      </c>
      <c r="AC139">
        <f t="shared" si="2"/>
        <v>22558</v>
      </c>
      <c r="AD139">
        <f t="shared" si="3"/>
        <v>8218</v>
      </c>
      <c r="AE139">
        <f t="shared" si="4"/>
        <v>8218</v>
      </c>
      <c r="AF139">
        <f t="shared" si="5"/>
        <v>0</v>
      </c>
      <c r="AG139">
        <f t="shared" si="6"/>
        <v>0.36430534621863642</v>
      </c>
      <c r="AH139">
        <f t="shared" si="7"/>
        <v>0</v>
      </c>
      <c r="AI139">
        <f t="shared" si="8"/>
        <v>0</v>
      </c>
      <c r="AJ139">
        <f t="shared" si="9"/>
        <v>0.26702625422407072</v>
      </c>
      <c r="AK139">
        <v>15124</v>
      </c>
      <c r="AL139">
        <v>15652</v>
      </c>
      <c r="AM139">
        <v>30776</v>
      </c>
      <c r="AN139" t="s">
        <v>43</v>
      </c>
      <c r="AO139" s="6">
        <v>1</v>
      </c>
    </row>
    <row r="140" spans="1:41" x14ac:dyDescent="0.2">
      <c r="A140" t="s">
        <v>215</v>
      </c>
      <c r="B140" s="4" t="str">
        <f t="shared" si="0"/>
        <v>21-2-4</v>
      </c>
      <c r="C140" t="s">
        <v>212</v>
      </c>
      <c r="D140" s="5" t="str">
        <f t="shared" si="29"/>
        <v>21-2</v>
      </c>
      <c r="E140" t="s">
        <v>202</v>
      </c>
      <c r="F140">
        <v>21</v>
      </c>
      <c r="G140">
        <v>9742</v>
      </c>
      <c r="H140">
        <v>11784</v>
      </c>
      <c r="K140">
        <v>24</v>
      </c>
      <c r="L140">
        <v>29</v>
      </c>
      <c r="O140">
        <v>93</v>
      </c>
      <c r="P140">
        <v>118</v>
      </c>
      <c r="S140">
        <v>146</v>
      </c>
      <c r="T140">
        <v>200</v>
      </c>
      <c r="W140">
        <v>1614</v>
      </c>
      <c r="X140">
        <v>2043</v>
      </c>
      <c r="AC140">
        <f t="shared" si="2"/>
        <v>21526</v>
      </c>
      <c r="AD140">
        <f t="shared" si="3"/>
        <v>4267</v>
      </c>
      <c r="AE140">
        <f t="shared" si="4"/>
        <v>4267</v>
      </c>
      <c r="AF140">
        <f t="shared" si="5"/>
        <v>53</v>
      </c>
      <c r="AG140">
        <f t="shared" si="6"/>
        <v>0.1982254018396358</v>
      </c>
      <c r="AH140">
        <f t="shared" si="7"/>
        <v>2.4621388088822819E-3</v>
      </c>
      <c r="AI140">
        <f t="shared" si="8"/>
        <v>2.054821075485597E-3</v>
      </c>
      <c r="AJ140">
        <f t="shared" si="9"/>
        <v>0.16543248168107627</v>
      </c>
      <c r="AK140">
        <v>11619</v>
      </c>
      <c r="AL140">
        <v>14174</v>
      </c>
      <c r="AM140">
        <v>25793</v>
      </c>
      <c r="AN140" t="s">
        <v>43</v>
      </c>
      <c r="AO140">
        <v>0</v>
      </c>
    </row>
    <row r="141" spans="1:41" x14ac:dyDescent="0.2">
      <c r="A141" t="s">
        <v>216</v>
      </c>
      <c r="B141" s="4" t="str">
        <f t="shared" si="0"/>
        <v>21-2-5</v>
      </c>
      <c r="C141" t="s">
        <v>212</v>
      </c>
      <c r="D141" s="5" t="str">
        <f t="shared" si="29"/>
        <v>21-2</v>
      </c>
      <c r="E141" t="s">
        <v>202</v>
      </c>
      <c r="F141">
        <v>21</v>
      </c>
      <c r="G141">
        <v>2849</v>
      </c>
      <c r="H141">
        <v>2289</v>
      </c>
      <c r="O141">
        <v>154</v>
      </c>
      <c r="Q141">
        <v>154</v>
      </c>
      <c r="R141">
        <v>107</v>
      </c>
      <c r="W141">
        <v>1279</v>
      </c>
      <c r="X141">
        <v>1210</v>
      </c>
      <c r="AC141">
        <f t="shared" si="2"/>
        <v>5138</v>
      </c>
      <c r="AD141">
        <f t="shared" si="3"/>
        <v>2643</v>
      </c>
      <c r="AE141">
        <f t="shared" si="4"/>
        <v>2904</v>
      </c>
      <c r="AF141">
        <f t="shared" si="5"/>
        <v>0</v>
      </c>
      <c r="AG141">
        <f t="shared" si="6"/>
        <v>0.51440249124172832</v>
      </c>
      <c r="AH141">
        <f t="shared" si="7"/>
        <v>0</v>
      </c>
      <c r="AI141">
        <f t="shared" si="8"/>
        <v>0</v>
      </c>
      <c r="AJ141">
        <f t="shared" si="9"/>
        <v>0.33506592292089249</v>
      </c>
      <c r="AK141">
        <v>4282</v>
      </c>
      <c r="AL141">
        <v>3606</v>
      </c>
      <c r="AM141">
        <v>7888</v>
      </c>
      <c r="AN141" t="s">
        <v>43</v>
      </c>
      <c r="AO141">
        <v>0</v>
      </c>
    </row>
    <row r="142" spans="1:41" x14ac:dyDescent="0.2">
      <c r="A142" t="s">
        <v>217</v>
      </c>
      <c r="B142" s="4" t="str">
        <f t="shared" si="0"/>
        <v>22-1-1</v>
      </c>
      <c r="C142" t="s">
        <v>218</v>
      </c>
      <c r="D142" s="5" t="str">
        <f t="shared" ref="D142:D147" si="30">F142&amp;"-"&amp;1</f>
        <v>22-1</v>
      </c>
      <c r="E142" t="s">
        <v>219</v>
      </c>
      <c r="F142">
        <v>22</v>
      </c>
      <c r="G142">
        <v>13205</v>
      </c>
      <c r="H142">
        <v>15327</v>
      </c>
      <c r="I142">
        <v>12093</v>
      </c>
      <c r="J142">
        <v>11734</v>
      </c>
      <c r="K142">
        <v>33</v>
      </c>
      <c r="L142">
        <v>254</v>
      </c>
      <c r="M142">
        <v>5835</v>
      </c>
      <c r="N142">
        <v>6614</v>
      </c>
      <c r="O142">
        <v>35</v>
      </c>
      <c r="P142">
        <v>35</v>
      </c>
      <c r="Q142">
        <v>11</v>
      </c>
      <c r="R142">
        <v>24</v>
      </c>
      <c r="AC142">
        <f t="shared" si="2"/>
        <v>28532</v>
      </c>
      <c r="AD142">
        <f t="shared" si="3"/>
        <v>36633</v>
      </c>
      <c r="AE142">
        <f t="shared" si="4"/>
        <v>36668</v>
      </c>
      <c r="AF142">
        <f t="shared" si="5"/>
        <v>287</v>
      </c>
      <c r="AG142">
        <f t="shared" si="6"/>
        <v>1.2839268190102342</v>
      </c>
      <c r="AH142">
        <f t="shared" si="7"/>
        <v>1.0058881256133464E-2</v>
      </c>
      <c r="AI142">
        <f t="shared" si="8"/>
        <v>4.4018404907975456E-3</v>
      </c>
      <c r="AJ142">
        <f t="shared" si="9"/>
        <v>0.56185582822085889</v>
      </c>
      <c r="AK142">
        <v>31212</v>
      </c>
      <c r="AL142">
        <v>33988</v>
      </c>
      <c r="AM142">
        <v>65200</v>
      </c>
      <c r="AN142" t="s">
        <v>43</v>
      </c>
      <c r="AO142">
        <v>0</v>
      </c>
    </row>
    <row r="143" spans="1:41" x14ac:dyDescent="0.2">
      <c r="A143" t="s">
        <v>220</v>
      </c>
      <c r="B143" s="4" t="str">
        <f t="shared" si="0"/>
        <v>22-1-2</v>
      </c>
      <c r="C143" t="s">
        <v>218</v>
      </c>
      <c r="D143" s="5" t="str">
        <f t="shared" si="30"/>
        <v>22-1</v>
      </c>
      <c r="E143" t="s">
        <v>219</v>
      </c>
      <c r="F143">
        <v>22</v>
      </c>
      <c r="G143">
        <v>57162</v>
      </c>
      <c r="H143">
        <v>60046</v>
      </c>
      <c r="I143">
        <v>37449</v>
      </c>
      <c r="J143">
        <v>40381</v>
      </c>
      <c r="K143">
        <v>1917</v>
      </c>
      <c r="L143">
        <v>1924</v>
      </c>
      <c r="M143">
        <v>14708</v>
      </c>
      <c r="N143">
        <v>16213</v>
      </c>
      <c r="O143">
        <v>136</v>
      </c>
      <c r="P143">
        <v>173</v>
      </c>
      <c r="Q143">
        <v>4370</v>
      </c>
      <c r="R143">
        <v>4548</v>
      </c>
      <c r="S143">
        <v>18</v>
      </c>
      <c r="T143">
        <v>24</v>
      </c>
      <c r="V143">
        <v>4</v>
      </c>
      <c r="AC143">
        <f t="shared" si="2"/>
        <v>117208</v>
      </c>
      <c r="AD143">
        <f t="shared" si="3"/>
        <v>112947</v>
      </c>
      <c r="AE143">
        <f t="shared" si="4"/>
        <v>121865</v>
      </c>
      <c r="AF143">
        <f t="shared" si="5"/>
        <v>3841</v>
      </c>
      <c r="AG143">
        <f t="shared" si="6"/>
        <v>0.96364582622346595</v>
      </c>
      <c r="AH143">
        <f t="shared" si="7"/>
        <v>3.2770800627943485E-2</v>
      </c>
      <c r="AI143">
        <f t="shared" si="8"/>
        <v>1.6066222450883204E-2</v>
      </c>
      <c r="AJ143">
        <f t="shared" si="9"/>
        <v>0.47243728902887405</v>
      </c>
      <c r="AK143">
        <v>115760</v>
      </c>
      <c r="AL143">
        <v>123313</v>
      </c>
      <c r="AM143">
        <v>239073</v>
      </c>
      <c r="AN143" t="s">
        <v>43</v>
      </c>
      <c r="AO143" s="6">
        <v>1</v>
      </c>
    </row>
    <row r="144" spans="1:41" x14ac:dyDescent="0.2">
      <c r="A144" t="s">
        <v>221</v>
      </c>
      <c r="B144" s="4" t="str">
        <f t="shared" si="0"/>
        <v>22-1-3</v>
      </c>
      <c r="C144" t="s">
        <v>218</v>
      </c>
      <c r="D144" s="5" t="str">
        <f t="shared" si="30"/>
        <v>22-1</v>
      </c>
      <c r="E144" t="s">
        <v>219</v>
      </c>
      <c r="F144">
        <v>22</v>
      </c>
      <c r="G144">
        <v>12239</v>
      </c>
      <c r="H144">
        <v>13366</v>
      </c>
      <c r="I144">
        <v>28250</v>
      </c>
      <c r="J144">
        <v>30903</v>
      </c>
      <c r="K144">
        <v>524</v>
      </c>
      <c r="L144">
        <v>556</v>
      </c>
      <c r="M144">
        <v>805</v>
      </c>
      <c r="N144">
        <v>869</v>
      </c>
      <c r="Q144">
        <v>790</v>
      </c>
      <c r="R144">
        <v>814</v>
      </c>
      <c r="AA144">
        <v>25</v>
      </c>
      <c r="AB144">
        <v>88</v>
      </c>
      <c r="AC144">
        <f t="shared" si="2"/>
        <v>25605</v>
      </c>
      <c r="AD144">
        <f t="shared" si="3"/>
        <v>61907</v>
      </c>
      <c r="AE144">
        <f t="shared" si="4"/>
        <v>63511</v>
      </c>
      <c r="AF144">
        <f t="shared" si="5"/>
        <v>1080</v>
      </c>
      <c r="AG144">
        <f t="shared" si="6"/>
        <v>2.4177699668033585</v>
      </c>
      <c r="AH144">
        <f t="shared" si="7"/>
        <v>4.21792618629174E-2</v>
      </c>
      <c r="AI144">
        <f t="shared" si="8"/>
        <v>1.2103688262784521E-2</v>
      </c>
      <c r="AJ144">
        <f t="shared" si="9"/>
        <v>0.69379910118907528</v>
      </c>
      <c r="AK144">
        <v>442633</v>
      </c>
      <c r="AL144">
        <v>46596</v>
      </c>
      <c r="AM144">
        <v>89229</v>
      </c>
      <c r="AN144" t="s">
        <v>43</v>
      </c>
      <c r="AO144">
        <v>0</v>
      </c>
    </row>
    <row r="145" spans="1:41" x14ac:dyDescent="0.2">
      <c r="A145" s="7" t="s">
        <v>222</v>
      </c>
      <c r="B145" s="8" t="str">
        <f t="shared" si="0"/>
        <v>22-1-4</v>
      </c>
      <c r="C145" s="7" t="s">
        <v>218</v>
      </c>
      <c r="D145" s="9" t="str">
        <f t="shared" si="30"/>
        <v>22-1</v>
      </c>
      <c r="E145" s="7" t="s">
        <v>219</v>
      </c>
      <c r="F145" s="7">
        <v>22</v>
      </c>
      <c r="G145" s="7">
        <v>90364</v>
      </c>
      <c r="H145" s="7">
        <v>91698</v>
      </c>
      <c r="I145" s="7">
        <v>6492</v>
      </c>
      <c r="J145" s="7">
        <v>7362</v>
      </c>
      <c r="K145" s="7">
        <v>175</v>
      </c>
      <c r="L145" s="7">
        <v>147</v>
      </c>
      <c r="M145" s="7">
        <v>9828</v>
      </c>
      <c r="N145" s="7">
        <v>9599</v>
      </c>
      <c r="O145" s="7"/>
      <c r="P145" s="7"/>
      <c r="Q145" s="7">
        <v>232</v>
      </c>
      <c r="R145" s="7">
        <v>372</v>
      </c>
      <c r="S145" s="7"/>
      <c r="T145" s="7"/>
      <c r="U145" s="7"/>
      <c r="V145" s="7"/>
      <c r="W145" s="7"/>
      <c r="X145" s="7"/>
      <c r="Y145" s="7"/>
      <c r="Z145" s="7"/>
      <c r="AA145" s="7">
        <v>90</v>
      </c>
      <c r="AB145" s="7">
        <v>150</v>
      </c>
      <c r="AC145" s="7">
        <f t="shared" si="2"/>
        <v>182062</v>
      </c>
      <c r="AD145" s="7">
        <f t="shared" si="3"/>
        <v>33603</v>
      </c>
      <c r="AE145" s="7">
        <f t="shared" si="4"/>
        <v>34207</v>
      </c>
      <c r="AF145" s="7">
        <f t="shared" si="5"/>
        <v>322</v>
      </c>
      <c r="AG145" s="7">
        <f t="shared" si="6"/>
        <v>0.18456899298041327</v>
      </c>
      <c r="AH145" s="7">
        <f t="shared" si="7"/>
        <v>1.7686282694906132E-3</v>
      </c>
      <c r="AI145" s="7">
        <f t="shared" si="8"/>
        <v>1.487236096420934E-3</v>
      </c>
      <c r="AJ145" s="7">
        <f t="shared" si="9"/>
        <v>0.15520370977649889</v>
      </c>
      <c r="AK145" s="7">
        <v>107181</v>
      </c>
      <c r="AL145" s="7">
        <v>109328</v>
      </c>
      <c r="AM145" s="7">
        <v>216509</v>
      </c>
      <c r="AN145" s="7" t="s">
        <v>43</v>
      </c>
      <c r="AO145" s="7">
        <v>0</v>
      </c>
    </row>
    <row r="146" spans="1:41" x14ac:dyDescent="0.2">
      <c r="A146" t="s">
        <v>223</v>
      </c>
      <c r="B146" s="4" t="str">
        <f t="shared" si="0"/>
        <v>22-1-5</v>
      </c>
      <c r="C146" t="s">
        <v>218</v>
      </c>
      <c r="D146" s="5" t="str">
        <f t="shared" si="30"/>
        <v>22-1</v>
      </c>
      <c r="E146" t="s">
        <v>219</v>
      </c>
      <c r="F146">
        <v>22</v>
      </c>
      <c r="G146">
        <v>17111</v>
      </c>
      <c r="H146">
        <v>19216</v>
      </c>
      <c r="I146">
        <v>26208</v>
      </c>
      <c r="J146">
        <v>27455</v>
      </c>
      <c r="K146">
        <v>45</v>
      </c>
      <c r="L146">
        <v>63</v>
      </c>
      <c r="M146">
        <v>16320</v>
      </c>
      <c r="N146">
        <v>17679</v>
      </c>
      <c r="O146">
        <v>44</v>
      </c>
      <c r="P146">
        <v>40</v>
      </c>
      <c r="Q146">
        <v>425</v>
      </c>
      <c r="R146">
        <v>475</v>
      </c>
      <c r="S146">
        <v>27</v>
      </c>
      <c r="T146">
        <v>30</v>
      </c>
      <c r="AA146">
        <v>99</v>
      </c>
      <c r="AB146">
        <v>92</v>
      </c>
      <c r="AC146">
        <f t="shared" si="2"/>
        <v>36327</v>
      </c>
      <c r="AD146">
        <f t="shared" si="3"/>
        <v>87911</v>
      </c>
      <c r="AE146">
        <f t="shared" si="4"/>
        <v>88811</v>
      </c>
      <c r="AF146">
        <f t="shared" si="5"/>
        <v>108</v>
      </c>
      <c r="AG146">
        <f t="shared" si="6"/>
        <v>2.4199906405703748</v>
      </c>
      <c r="AH146">
        <f t="shared" si="7"/>
        <v>2.9729952927574532E-3</v>
      </c>
      <c r="AI146">
        <f t="shared" si="8"/>
        <v>8.6173192158239516E-4</v>
      </c>
      <c r="AJ146">
        <f t="shared" si="9"/>
        <v>0.70144180516879573</v>
      </c>
      <c r="AK146">
        <v>60279</v>
      </c>
      <c r="AL146">
        <v>65050</v>
      </c>
      <c r="AM146">
        <v>125329</v>
      </c>
      <c r="AN146" t="s">
        <v>43</v>
      </c>
      <c r="AO146">
        <v>0</v>
      </c>
    </row>
    <row r="147" spans="1:41" x14ac:dyDescent="0.2">
      <c r="A147" t="s">
        <v>224</v>
      </c>
      <c r="B147" s="4" t="str">
        <f t="shared" si="0"/>
        <v>22-1-6</v>
      </c>
      <c r="C147" t="s">
        <v>218</v>
      </c>
      <c r="D147" s="5" t="str">
        <f t="shared" si="30"/>
        <v>22-1</v>
      </c>
      <c r="E147" t="s">
        <v>219</v>
      </c>
      <c r="F147">
        <v>22</v>
      </c>
      <c r="G147">
        <v>21397</v>
      </c>
      <c r="H147">
        <v>23235</v>
      </c>
      <c r="I147">
        <v>18361</v>
      </c>
      <c r="J147">
        <v>20532</v>
      </c>
      <c r="K147">
        <v>5403</v>
      </c>
      <c r="L147">
        <v>5601</v>
      </c>
      <c r="M147">
        <v>1765</v>
      </c>
      <c r="N147">
        <v>2010</v>
      </c>
      <c r="O147">
        <v>274</v>
      </c>
      <c r="P147">
        <v>287</v>
      </c>
      <c r="Q147">
        <v>780</v>
      </c>
      <c r="R147">
        <v>876</v>
      </c>
      <c r="S147">
        <v>92</v>
      </c>
      <c r="T147">
        <v>88</v>
      </c>
      <c r="AC147">
        <f t="shared" si="2"/>
        <v>44632</v>
      </c>
      <c r="AD147">
        <f t="shared" si="3"/>
        <v>54413</v>
      </c>
      <c r="AE147">
        <f t="shared" si="4"/>
        <v>56069</v>
      </c>
      <c r="AF147">
        <f t="shared" si="5"/>
        <v>11004</v>
      </c>
      <c r="AG147">
        <f t="shared" si="6"/>
        <v>1.2191476967198422</v>
      </c>
      <c r="AH147">
        <f t="shared" si="7"/>
        <v>0.24654956085319951</v>
      </c>
      <c r="AI147">
        <f t="shared" si="8"/>
        <v>0.1092739893347633</v>
      </c>
      <c r="AJ147">
        <f t="shared" si="9"/>
        <v>0.5403422011697997</v>
      </c>
      <c r="AK147">
        <v>48072</v>
      </c>
      <c r="AL147">
        <v>52629</v>
      </c>
      <c r="AM147">
        <v>100701</v>
      </c>
      <c r="AN147" t="s">
        <v>43</v>
      </c>
      <c r="AO147">
        <v>0</v>
      </c>
    </row>
    <row r="148" spans="1:41" x14ac:dyDescent="0.2">
      <c r="A148" s="10" t="s">
        <v>225</v>
      </c>
      <c r="B148" s="4" t="str">
        <f t="shared" si="0"/>
        <v>23-3-1</v>
      </c>
      <c r="C148" t="s">
        <v>226</v>
      </c>
      <c r="D148" s="5" t="str">
        <f t="shared" ref="D148:D153" si="31">F148&amp;"-"&amp;3</f>
        <v>23-3</v>
      </c>
      <c r="E148" t="s">
        <v>227</v>
      </c>
      <c r="F148">
        <v>23</v>
      </c>
      <c r="G148">
        <v>3780</v>
      </c>
      <c r="H148">
        <v>4425</v>
      </c>
      <c r="K148" s="10">
        <v>3075</v>
      </c>
      <c r="L148" s="10">
        <v>3637</v>
      </c>
      <c r="S148">
        <v>36</v>
      </c>
      <c r="T148">
        <v>33</v>
      </c>
      <c r="AC148">
        <f t="shared" si="2"/>
        <v>8205</v>
      </c>
      <c r="AD148">
        <f t="shared" si="3"/>
        <v>6781</v>
      </c>
      <c r="AE148">
        <f t="shared" si="4"/>
        <v>6781</v>
      </c>
      <c r="AF148">
        <f t="shared" si="5"/>
        <v>6712</v>
      </c>
      <c r="AG148">
        <f t="shared" si="6"/>
        <v>0.8264472882388787</v>
      </c>
      <c r="AH148">
        <f t="shared" si="7"/>
        <v>0.81803778184034126</v>
      </c>
      <c r="AI148">
        <f t="shared" si="8"/>
        <v>0.44788469237955425</v>
      </c>
      <c r="AJ148">
        <f t="shared" si="9"/>
        <v>0.45248898972374219</v>
      </c>
      <c r="AM148">
        <f t="shared" ref="AM148:AM162" si="32">SUM(G148:Z148)</f>
        <v>14986</v>
      </c>
      <c r="AN148" t="s">
        <v>228</v>
      </c>
      <c r="AO148">
        <v>0</v>
      </c>
    </row>
    <row r="149" spans="1:41" x14ac:dyDescent="0.2">
      <c r="A149" s="10" t="s">
        <v>229</v>
      </c>
      <c r="B149" s="4" t="str">
        <f t="shared" si="0"/>
        <v>23-3-2</v>
      </c>
      <c r="C149" t="s">
        <v>226</v>
      </c>
      <c r="D149" s="5" t="str">
        <f t="shared" si="31"/>
        <v>23-3</v>
      </c>
      <c r="E149" t="s">
        <v>227</v>
      </c>
      <c r="F149">
        <v>23</v>
      </c>
      <c r="G149">
        <v>6789</v>
      </c>
      <c r="H149">
        <v>6854</v>
      </c>
      <c r="I149">
        <v>106</v>
      </c>
      <c r="J149">
        <v>86</v>
      </c>
      <c r="K149">
        <v>1971</v>
      </c>
      <c r="L149">
        <v>1954</v>
      </c>
      <c r="S149">
        <v>150</v>
      </c>
      <c r="T149">
        <v>102</v>
      </c>
      <c r="AC149">
        <f t="shared" si="2"/>
        <v>13643</v>
      </c>
      <c r="AD149">
        <f t="shared" si="3"/>
        <v>4369</v>
      </c>
      <c r="AE149">
        <f t="shared" si="4"/>
        <v>4369</v>
      </c>
      <c r="AF149">
        <f t="shared" si="5"/>
        <v>3925</v>
      </c>
      <c r="AG149">
        <f t="shared" si="6"/>
        <v>0.32023748442424688</v>
      </c>
      <c r="AH149">
        <f t="shared" si="7"/>
        <v>0.28769332258300961</v>
      </c>
      <c r="AI149">
        <f t="shared" si="8"/>
        <v>0.21791028203419943</v>
      </c>
      <c r="AJ149">
        <f t="shared" si="9"/>
        <v>0.24256051521208083</v>
      </c>
      <c r="AM149">
        <f t="shared" si="32"/>
        <v>18012</v>
      </c>
      <c r="AN149" t="s">
        <v>228</v>
      </c>
      <c r="AO149">
        <v>0</v>
      </c>
    </row>
    <row r="150" spans="1:41" x14ac:dyDescent="0.2">
      <c r="A150" s="10" t="s">
        <v>230</v>
      </c>
      <c r="B150" s="4" t="str">
        <f t="shared" si="0"/>
        <v>23-3-3</v>
      </c>
      <c r="C150" t="s">
        <v>226</v>
      </c>
      <c r="D150" s="5" t="str">
        <f t="shared" si="31"/>
        <v>23-3</v>
      </c>
      <c r="E150" t="s">
        <v>227</v>
      </c>
      <c r="F150">
        <v>23</v>
      </c>
      <c r="G150">
        <v>3602</v>
      </c>
      <c r="H150">
        <v>3609</v>
      </c>
      <c r="K150">
        <v>354</v>
      </c>
      <c r="L150">
        <v>495</v>
      </c>
      <c r="AC150">
        <f t="shared" si="2"/>
        <v>7211</v>
      </c>
      <c r="AD150">
        <f t="shared" si="3"/>
        <v>849</v>
      </c>
      <c r="AE150">
        <f t="shared" si="4"/>
        <v>849</v>
      </c>
      <c r="AF150">
        <f t="shared" si="5"/>
        <v>849</v>
      </c>
      <c r="AG150">
        <f t="shared" si="6"/>
        <v>0.11773679101372903</v>
      </c>
      <c r="AH150">
        <f t="shared" si="7"/>
        <v>0.11773679101372903</v>
      </c>
      <c r="AI150">
        <f t="shared" si="8"/>
        <v>0.10533498759305211</v>
      </c>
      <c r="AJ150">
        <f t="shared" si="9"/>
        <v>0.10533498759305211</v>
      </c>
      <c r="AM150">
        <f t="shared" si="32"/>
        <v>8060</v>
      </c>
      <c r="AN150" t="s">
        <v>228</v>
      </c>
      <c r="AO150" s="6">
        <v>1</v>
      </c>
    </row>
    <row r="151" spans="1:41" x14ac:dyDescent="0.2">
      <c r="A151" s="10" t="s">
        <v>231</v>
      </c>
      <c r="B151" s="4" t="str">
        <f t="shared" si="0"/>
        <v>23-3-4</v>
      </c>
      <c r="C151" t="s">
        <v>226</v>
      </c>
      <c r="D151" s="5" t="str">
        <f t="shared" si="31"/>
        <v>23-3</v>
      </c>
      <c r="E151" t="s">
        <v>227</v>
      </c>
      <c r="F151">
        <v>23</v>
      </c>
      <c r="G151">
        <v>1509</v>
      </c>
      <c r="H151">
        <v>1718</v>
      </c>
      <c r="K151">
        <v>10</v>
      </c>
      <c r="L151">
        <v>10</v>
      </c>
      <c r="AC151">
        <f t="shared" si="2"/>
        <v>3227</v>
      </c>
      <c r="AD151">
        <f t="shared" si="3"/>
        <v>20</v>
      </c>
      <c r="AE151">
        <f t="shared" si="4"/>
        <v>20</v>
      </c>
      <c r="AF151">
        <f t="shared" si="5"/>
        <v>20</v>
      </c>
      <c r="AG151">
        <f t="shared" si="6"/>
        <v>6.1977068484660672E-3</v>
      </c>
      <c r="AH151">
        <f t="shared" si="7"/>
        <v>6.1977068484660672E-3</v>
      </c>
      <c r="AI151">
        <f t="shared" si="8"/>
        <v>6.1595318755774562E-3</v>
      </c>
      <c r="AJ151">
        <f t="shared" si="9"/>
        <v>6.1595318755774562E-3</v>
      </c>
      <c r="AM151">
        <f t="shared" si="32"/>
        <v>3247</v>
      </c>
      <c r="AN151" t="s">
        <v>228</v>
      </c>
      <c r="AO151">
        <v>0</v>
      </c>
    </row>
    <row r="152" spans="1:41" x14ac:dyDescent="0.2">
      <c r="A152" t="s">
        <v>232</v>
      </c>
      <c r="B152" s="4" t="str">
        <f t="shared" si="0"/>
        <v>23-3-5</v>
      </c>
      <c r="C152" t="s">
        <v>226</v>
      </c>
      <c r="D152" s="5" t="str">
        <f t="shared" si="31"/>
        <v>23-3</v>
      </c>
      <c r="E152" t="s">
        <v>227</v>
      </c>
      <c r="F152">
        <v>23</v>
      </c>
      <c r="G152">
        <v>5761</v>
      </c>
      <c r="H152">
        <v>7459</v>
      </c>
      <c r="I152">
        <v>0</v>
      </c>
      <c r="J152">
        <v>0</v>
      </c>
      <c r="K152">
        <v>666</v>
      </c>
      <c r="L152">
        <v>885</v>
      </c>
      <c r="AC152">
        <v>13220</v>
      </c>
      <c r="AD152">
        <v>1551</v>
      </c>
      <c r="AE152">
        <v>1551</v>
      </c>
      <c r="AF152">
        <v>1551</v>
      </c>
      <c r="AG152">
        <v>0.11732223903177004</v>
      </c>
      <c r="AH152">
        <v>0.11732223903177004</v>
      </c>
      <c r="AI152">
        <f t="shared" si="8"/>
        <v>0.10500304651005349</v>
      </c>
      <c r="AJ152">
        <f t="shared" si="9"/>
        <v>0.10500304651005349</v>
      </c>
      <c r="AM152">
        <f t="shared" si="32"/>
        <v>14771</v>
      </c>
      <c r="AN152" t="s">
        <v>233</v>
      </c>
      <c r="AO152">
        <v>0</v>
      </c>
    </row>
    <row r="153" spans="1:41" x14ac:dyDescent="0.2">
      <c r="A153" s="10" t="s">
        <v>234</v>
      </c>
      <c r="B153" s="4" t="str">
        <f t="shared" si="0"/>
        <v>23-3-6</v>
      </c>
      <c r="C153" t="s">
        <v>226</v>
      </c>
      <c r="D153" s="5" t="str">
        <f t="shared" si="31"/>
        <v>23-3</v>
      </c>
      <c r="E153" t="s">
        <v>227</v>
      </c>
      <c r="F153">
        <v>23</v>
      </c>
      <c r="G153">
        <v>1262</v>
      </c>
      <c r="H153">
        <v>1697</v>
      </c>
      <c r="AC153">
        <f t="shared" ref="AC153:AC340" si="33">SUM(G153+H153)</f>
        <v>2959</v>
      </c>
      <c r="AD153">
        <f t="shared" ref="AD153:AD340" si="34">SUM(I153:P153,S153:X153)</f>
        <v>0</v>
      </c>
      <c r="AE153">
        <f t="shared" ref="AE153:AE340" si="35">SUM(I153:X153)</f>
        <v>0</v>
      </c>
      <c r="AF153">
        <f t="shared" ref="AF153:AF340" si="36">SUM(K153, L153)</f>
        <v>0</v>
      </c>
      <c r="AG153">
        <f t="shared" ref="AG153:AG340" si="37">AD153/AC153</f>
        <v>0</v>
      </c>
      <c r="AH153">
        <f t="shared" ref="AH153:AH340" si="38">AF153/AC153</f>
        <v>0</v>
      </c>
      <c r="AI153">
        <f t="shared" si="8"/>
        <v>0</v>
      </c>
      <c r="AJ153">
        <f t="shared" si="9"/>
        <v>0</v>
      </c>
      <c r="AM153">
        <f t="shared" si="32"/>
        <v>2959</v>
      </c>
      <c r="AN153" t="s">
        <v>228</v>
      </c>
      <c r="AO153">
        <v>0</v>
      </c>
    </row>
    <row r="154" spans="1:41" x14ac:dyDescent="0.2">
      <c r="A154" s="10" t="s">
        <v>235</v>
      </c>
      <c r="B154" s="4" t="str">
        <f t="shared" si="0"/>
        <v>23-1-1</v>
      </c>
      <c r="C154" t="s">
        <v>236</v>
      </c>
      <c r="D154" s="5" t="str">
        <f t="shared" ref="D154:D157" si="39">F154&amp;"-"&amp;1</f>
        <v>23-1</v>
      </c>
      <c r="E154" t="s">
        <v>227</v>
      </c>
      <c r="F154">
        <v>23</v>
      </c>
      <c r="G154">
        <v>11143</v>
      </c>
      <c r="H154">
        <v>11013</v>
      </c>
      <c r="K154">
        <v>4611</v>
      </c>
      <c r="L154">
        <v>4460</v>
      </c>
      <c r="O154">
        <v>131</v>
      </c>
      <c r="P154">
        <v>131</v>
      </c>
      <c r="S154">
        <v>469</v>
      </c>
      <c r="T154">
        <v>480</v>
      </c>
      <c r="AC154">
        <f t="shared" si="33"/>
        <v>22156</v>
      </c>
      <c r="AD154">
        <f t="shared" si="34"/>
        <v>10282</v>
      </c>
      <c r="AE154">
        <f t="shared" si="35"/>
        <v>10282</v>
      </c>
      <c r="AF154">
        <f t="shared" si="36"/>
        <v>9071</v>
      </c>
      <c r="AG154">
        <f t="shared" si="37"/>
        <v>0.4640729373533129</v>
      </c>
      <c r="AH154">
        <f t="shared" si="38"/>
        <v>0.40941505686947105</v>
      </c>
      <c r="AI154">
        <f t="shared" si="8"/>
        <v>0.27964116160059188</v>
      </c>
      <c r="AJ154">
        <f t="shared" si="9"/>
        <v>0.31697391947715642</v>
      </c>
      <c r="AM154">
        <f t="shared" si="32"/>
        <v>32438</v>
      </c>
      <c r="AN154" t="s">
        <v>228</v>
      </c>
      <c r="AO154">
        <v>0</v>
      </c>
    </row>
    <row r="155" spans="1:41" x14ac:dyDescent="0.2">
      <c r="A155" s="10" t="s">
        <v>237</v>
      </c>
      <c r="B155" s="4" t="str">
        <f t="shared" si="0"/>
        <v>23-1-2</v>
      </c>
      <c r="C155" t="s">
        <v>236</v>
      </c>
      <c r="D155" s="5" t="str">
        <f t="shared" si="39"/>
        <v>23-1</v>
      </c>
      <c r="E155" t="s">
        <v>227</v>
      </c>
      <c r="F155">
        <v>23</v>
      </c>
      <c r="G155">
        <v>14915</v>
      </c>
      <c r="H155">
        <v>14957</v>
      </c>
      <c r="I155">
        <v>299</v>
      </c>
      <c r="J155">
        <v>280</v>
      </c>
      <c r="K155">
        <v>5442</v>
      </c>
      <c r="L155">
        <v>5858</v>
      </c>
      <c r="O155">
        <v>7</v>
      </c>
      <c r="P155">
        <v>17</v>
      </c>
      <c r="S155">
        <v>354</v>
      </c>
      <c r="T155">
        <v>295</v>
      </c>
      <c r="AC155">
        <f t="shared" si="33"/>
        <v>29872</v>
      </c>
      <c r="AD155">
        <f t="shared" si="34"/>
        <v>12552</v>
      </c>
      <c r="AE155">
        <f t="shared" si="35"/>
        <v>12552</v>
      </c>
      <c r="AF155">
        <f t="shared" si="36"/>
        <v>11300</v>
      </c>
      <c r="AG155">
        <f t="shared" si="37"/>
        <v>0.42019282271023034</v>
      </c>
      <c r="AH155">
        <f t="shared" si="38"/>
        <v>0.37828066416711303</v>
      </c>
      <c r="AI155">
        <f t="shared" si="8"/>
        <v>0.26635866490665661</v>
      </c>
      <c r="AJ155">
        <f t="shared" si="9"/>
        <v>0.29587026211578354</v>
      </c>
      <c r="AM155">
        <f t="shared" si="32"/>
        <v>42424</v>
      </c>
      <c r="AN155" t="s">
        <v>228</v>
      </c>
      <c r="AO155">
        <v>0</v>
      </c>
    </row>
    <row r="156" spans="1:41" x14ac:dyDescent="0.2">
      <c r="A156" s="10" t="s">
        <v>238</v>
      </c>
      <c r="B156" s="4" t="str">
        <f t="shared" si="0"/>
        <v>23-1-3</v>
      </c>
      <c r="C156" t="s">
        <v>236</v>
      </c>
      <c r="D156" s="5" t="str">
        <f t="shared" si="39"/>
        <v>23-1</v>
      </c>
      <c r="E156" t="s">
        <v>227</v>
      </c>
      <c r="F156">
        <v>23</v>
      </c>
      <c r="G156" s="10">
        <v>36886</v>
      </c>
      <c r="H156">
        <v>40459</v>
      </c>
      <c r="I156">
        <v>17</v>
      </c>
      <c r="J156">
        <v>19</v>
      </c>
      <c r="K156">
        <v>15063</v>
      </c>
      <c r="L156">
        <v>17486</v>
      </c>
      <c r="O156">
        <v>326</v>
      </c>
      <c r="P156">
        <v>318</v>
      </c>
      <c r="S156">
        <v>1977</v>
      </c>
      <c r="T156">
        <v>2419</v>
      </c>
      <c r="U156">
        <v>221</v>
      </c>
      <c r="V156">
        <v>226</v>
      </c>
      <c r="W156">
        <v>422</v>
      </c>
      <c r="X156">
        <v>476</v>
      </c>
      <c r="AC156">
        <f t="shared" si="33"/>
        <v>77345</v>
      </c>
      <c r="AD156">
        <f t="shared" si="34"/>
        <v>38970</v>
      </c>
      <c r="AE156">
        <f t="shared" si="35"/>
        <v>38970</v>
      </c>
      <c r="AF156">
        <f t="shared" si="36"/>
        <v>32549</v>
      </c>
      <c r="AG156">
        <f t="shared" si="37"/>
        <v>0.5038464024823841</v>
      </c>
      <c r="AH156">
        <f t="shared" si="38"/>
        <v>0.42082875428275907</v>
      </c>
      <c r="AI156">
        <f t="shared" si="8"/>
        <v>0.27983493100631907</v>
      </c>
      <c r="AJ156">
        <f t="shared" si="9"/>
        <v>0.33503847311180845</v>
      </c>
      <c r="AM156">
        <f t="shared" si="32"/>
        <v>116315</v>
      </c>
      <c r="AN156" t="s">
        <v>228</v>
      </c>
      <c r="AO156" s="6">
        <v>1</v>
      </c>
    </row>
    <row r="157" spans="1:41" x14ac:dyDescent="0.2">
      <c r="A157" s="10" t="s">
        <v>239</v>
      </c>
      <c r="B157" s="4" t="str">
        <f t="shared" si="0"/>
        <v>23-1-4</v>
      </c>
      <c r="C157" t="s">
        <v>236</v>
      </c>
      <c r="D157" s="5" t="str">
        <f t="shared" si="39"/>
        <v>23-1</v>
      </c>
      <c r="E157" t="s">
        <v>227</v>
      </c>
      <c r="F157">
        <v>23</v>
      </c>
      <c r="G157">
        <v>8509</v>
      </c>
      <c r="H157">
        <v>10542</v>
      </c>
      <c r="I157">
        <v>32</v>
      </c>
      <c r="J157">
        <v>31</v>
      </c>
      <c r="K157" s="10">
        <v>163</v>
      </c>
      <c r="L157">
        <v>184</v>
      </c>
      <c r="S157">
        <v>29</v>
      </c>
      <c r="T157">
        <v>36</v>
      </c>
      <c r="AC157">
        <f t="shared" si="33"/>
        <v>19051</v>
      </c>
      <c r="AD157">
        <f t="shared" si="34"/>
        <v>475</v>
      </c>
      <c r="AE157">
        <f t="shared" si="35"/>
        <v>475</v>
      </c>
      <c r="AF157">
        <f t="shared" si="36"/>
        <v>347</v>
      </c>
      <c r="AG157">
        <f t="shared" si="37"/>
        <v>2.4933074379297676E-2</v>
      </c>
      <c r="AH157">
        <f t="shared" si="38"/>
        <v>1.821426696761325E-2</v>
      </c>
      <c r="AI157">
        <f t="shared" si="8"/>
        <v>1.7771176892348663E-2</v>
      </c>
      <c r="AJ157">
        <f t="shared" si="9"/>
        <v>2.4326538973676124E-2</v>
      </c>
      <c r="AM157">
        <f t="shared" si="32"/>
        <v>19526</v>
      </c>
      <c r="AN157" t="s">
        <v>228</v>
      </c>
      <c r="AO157">
        <v>0</v>
      </c>
    </row>
    <row r="158" spans="1:41" x14ac:dyDescent="0.2">
      <c r="A158" s="10" t="s">
        <v>240</v>
      </c>
      <c r="B158" s="4" t="str">
        <f t="shared" si="0"/>
        <v>23-2-1</v>
      </c>
      <c r="C158" t="s">
        <v>241</v>
      </c>
      <c r="D158" s="5" t="str">
        <f t="shared" ref="D158:D167" si="40">F158&amp;"-"&amp;2</f>
        <v>23-2</v>
      </c>
      <c r="E158" t="s">
        <v>227</v>
      </c>
      <c r="F158">
        <v>23</v>
      </c>
      <c r="G158">
        <v>13989</v>
      </c>
      <c r="H158">
        <v>15166</v>
      </c>
      <c r="K158">
        <v>679</v>
      </c>
      <c r="L158">
        <v>832</v>
      </c>
      <c r="O158">
        <f>249+32</f>
        <v>281</v>
      </c>
      <c r="P158">
        <f>277+29</f>
        <v>306</v>
      </c>
      <c r="S158">
        <v>136</v>
      </c>
      <c r="T158">
        <v>148</v>
      </c>
      <c r="W158">
        <v>29</v>
      </c>
      <c r="X158">
        <v>32</v>
      </c>
      <c r="AC158">
        <f t="shared" si="33"/>
        <v>29155</v>
      </c>
      <c r="AD158">
        <f t="shared" si="34"/>
        <v>2443</v>
      </c>
      <c r="AE158">
        <f t="shared" si="35"/>
        <v>2443</v>
      </c>
      <c r="AF158">
        <f t="shared" si="36"/>
        <v>1511</v>
      </c>
      <c r="AG158">
        <f t="shared" si="37"/>
        <v>8.3793517406962781E-2</v>
      </c>
      <c r="AH158">
        <f t="shared" si="38"/>
        <v>5.1826444863659747E-2</v>
      </c>
      <c r="AI158">
        <f t="shared" si="8"/>
        <v>4.7819482245711753E-2</v>
      </c>
      <c r="AJ158">
        <f t="shared" si="9"/>
        <v>7.7315019937970755E-2</v>
      </c>
      <c r="AM158">
        <f t="shared" si="32"/>
        <v>31598</v>
      </c>
      <c r="AN158" t="s">
        <v>228</v>
      </c>
      <c r="AO158">
        <v>0</v>
      </c>
    </row>
    <row r="159" spans="1:41" x14ac:dyDescent="0.2">
      <c r="A159" s="10" t="s">
        <v>242</v>
      </c>
      <c r="B159" s="4" t="str">
        <f t="shared" si="0"/>
        <v>23-2-2</v>
      </c>
      <c r="C159" t="s">
        <v>241</v>
      </c>
      <c r="D159" s="5" t="str">
        <f t="shared" si="40"/>
        <v>23-2</v>
      </c>
      <c r="E159" t="s">
        <v>227</v>
      </c>
      <c r="F159">
        <v>23</v>
      </c>
      <c r="G159">
        <v>11567</v>
      </c>
      <c r="H159">
        <v>14897</v>
      </c>
      <c r="K159">
        <v>140</v>
      </c>
      <c r="L159">
        <v>196</v>
      </c>
      <c r="AC159">
        <f t="shared" si="33"/>
        <v>26464</v>
      </c>
      <c r="AD159">
        <f t="shared" si="34"/>
        <v>336</v>
      </c>
      <c r="AE159">
        <f t="shared" si="35"/>
        <v>336</v>
      </c>
      <c r="AF159">
        <f t="shared" si="36"/>
        <v>336</v>
      </c>
      <c r="AG159">
        <f t="shared" si="37"/>
        <v>1.2696493349455865E-2</v>
      </c>
      <c r="AH159">
        <f t="shared" si="38"/>
        <v>1.2696493349455865E-2</v>
      </c>
      <c r="AI159">
        <f t="shared" si="8"/>
        <v>1.2537313432835821E-2</v>
      </c>
      <c r="AJ159">
        <f t="shared" si="9"/>
        <v>1.2537313432835821E-2</v>
      </c>
      <c r="AM159">
        <f t="shared" si="32"/>
        <v>26800</v>
      </c>
      <c r="AN159" t="s">
        <v>228</v>
      </c>
      <c r="AO159">
        <v>0</v>
      </c>
    </row>
    <row r="160" spans="1:41" x14ac:dyDescent="0.2">
      <c r="A160" s="10" t="s">
        <v>243</v>
      </c>
      <c r="B160" s="4" t="str">
        <f t="shared" si="0"/>
        <v>23-2-3</v>
      </c>
      <c r="C160" t="s">
        <v>241</v>
      </c>
      <c r="D160" s="5" t="str">
        <f t="shared" si="40"/>
        <v>23-2</v>
      </c>
      <c r="E160" t="s">
        <v>227</v>
      </c>
      <c r="F160">
        <v>23</v>
      </c>
      <c r="G160">
        <v>20158</v>
      </c>
      <c r="H160">
        <v>23308</v>
      </c>
      <c r="K160">
        <v>661</v>
      </c>
      <c r="L160">
        <v>676</v>
      </c>
      <c r="O160">
        <v>105</v>
      </c>
      <c r="P160">
        <v>97</v>
      </c>
      <c r="S160">
        <v>22</v>
      </c>
      <c r="T160">
        <v>26</v>
      </c>
      <c r="AC160">
        <f t="shared" si="33"/>
        <v>43466</v>
      </c>
      <c r="AD160">
        <f t="shared" si="34"/>
        <v>1587</v>
      </c>
      <c r="AE160">
        <f t="shared" si="35"/>
        <v>1587</v>
      </c>
      <c r="AF160">
        <f t="shared" si="36"/>
        <v>1337</v>
      </c>
      <c r="AG160">
        <f t="shared" si="37"/>
        <v>3.6511296185524317E-2</v>
      </c>
      <c r="AH160">
        <f t="shared" si="38"/>
        <v>3.0759674228132333E-2</v>
      </c>
      <c r="AI160">
        <f t="shared" si="8"/>
        <v>2.9676159190286995E-2</v>
      </c>
      <c r="AJ160">
        <f t="shared" si="9"/>
        <v>3.5225179233347392E-2</v>
      </c>
      <c r="AM160">
        <f t="shared" si="32"/>
        <v>45053</v>
      </c>
      <c r="AN160" t="s">
        <v>228</v>
      </c>
      <c r="AO160">
        <v>0</v>
      </c>
    </row>
    <row r="161" spans="1:41" x14ac:dyDescent="0.2">
      <c r="A161" s="10" t="s">
        <v>244</v>
      </c>
      <c r="B161" s="4" t="str">
        <f t="shared" si="0"/>
        <v>23-2-4</v>
      </c>
      <c r="C161" t="s">
        <v>241</v>
      </c>
      <c r="D161" s="5" t="str">
        <f t="shared" si="40"/>
        <v>23-2</v>
      </c>
      <c r="E161" t="s">
        <v>227</v>
      </c>
      <c r="F161">
        <v>23</v>
      </c>
      <c r="G161">
        <v>13313</v>
      </c>
      <c r="H161">
        <v>17022</v>
      </c>
      <c r="K161">
        <v>407</v>
      </c>
      <c r="L161">
        <v>350</v>
      </c>
      <c r="W161">
        <v>150</v>
      </c>
      <c r="X161">
        <v>172</v>
      </c>
      <c r="AC161">
        <f t="shared" si="33"/>
        <v>30335</v>
      </c>
      <c r="AD161">
        <f t="shared" si="34"/>
        <v>1079</v>
      </c>
      <c r="AE161">
        <f t="shared" si="35"/>
        <v>1079</v>
      </c>
      <c r="AF161">
        <f t="shared" si="36"/>
        <v>757</v>
      </c>
      <c r="AG161">
        <f t="shared" si="37"/>
        <v>3.5569474204714027E-2</v>
      </c>
      <c r="AH161">
        <f t="shared" si="38"/>
        <v>2.4954672820174717E-2</v>
      </c>
      <c r="AI161">
        <f t="shared" si="8"/>
        <v>2.4097536130387724E-2</v>
      </c>
      <c r="AJ161">
        <f t="shared" si="9"/>
        <v>3.434774304450245E-2</v>
      </c>
      <c r="AM161">
        <f t="shared" si="32"/>
        <v>31414</v>
      </c>
      <c r="AN161" t="s">
        <v>228</v>
      </c>
      <c r="AO161">
        <v>0</v>
      </c>
    </row>
    <row r="162" spans="1:41" x14ac:dyDescent="0.2">
      <c r="A162" s="10" t="s">
        <v>245</v>
      </c>
      <c r="B162" s="4" t="str">
        <f t="shared" si="0"/>
        <v>23-2-5</v>
      </c>
      <c r="C162" t="s">
        <v>241</v>
      </c>
      <c r="D162" s="5" t="str">
        <f t="shared" si="40"/>
        <v>23-2</v>
      </c>
      <c r="E162" t="s">
        <v>227</v>
      </c>
      <c r="F162">
        <v>23</v>
      </c>
      <c r="G162">
        <v>23236</v>
      </c>
      <c r="H162">
        <v>26383</v>
      </c>
      <c r="K162">
        <v>2863</v>
      </c>
      <c r="L162">
        <v>3292</v>
      </c>
      <c r="O162">
        <v>242</v>
      </c>
      <c r="P162">
        <v>266</v>
      </c>
      <c r="S162">
        <v>159</v>
      </c>
      <c r="T162">
        <v>160</v>
      </c>
      <c r="U162">
        <v>59</v>
      </c>
      <c r="V162">
        <v>61</v>
      </c>
      <c r="AC162">
        <f t="shared" si="33"/>
        <v>49619</v>
      </c>
      <c r="AD162">
        <f t="shared" si="34"/>
        <v>7102</v>
      </c>
      <c r="AE162">
        <f t="shared" si="35"/>
        <v>7102</v>
      </c>
      <c r="AF162">
        <f t="shared" si="36"/>
        <v>6155</v>
      </c>
      <c r="AG162">
        <f t="shared" si="37"/>
        <v>0.14313065559563876</v>
      </c>
      <c r="AH162">
        <f t="shared" si="38"/>
        <v>0.12404522461153994</v>
      </c>
      <c r="AI162">
        <f t="shared" si="8"/>
        <v>0.1085136016642866</v>
      </c>
      <c r="AJ162">
        <f t="shared" si="9"/>
        <v>0.12520935808607042</v>
      </c>
      <c r="AM162">
        <f t="shared" si="32"/>
        <v>56721</v>
      </c>
      <c r="AN162" t="s">
        <v>228</v>
      </c>
      <c r="AO162" s="6">
        <v>1</v>
      </c>
    </row>
    <row r="163" spans="1:41" x14ac:dyDescent="0.2">
      <c r="A163" t="s">
        <v>246</v>
      </c>
      <c r="B163" s="4" t="str">
        <f t="shared" si="0"/>
        <v>25-2-1</v>
      </c>
      <c r="C163" t="s">
        <v>247</v>
      </c>
      <c r="D163" s="5" t="str">
        <f t="shared" si="40"/>
        <v>25-2</v>
      </c>
      <c r="E163" t="s">
        <v>248</v>
      </c>
      <c r="F163">
        <v>25</v>
      </c>
      <c r="G163">
        <v>3797</v>
      </c>
      <c r="H163">
        <v>5146</v>
      </c>
      <c r="K163">
        <v>945</v>
      </c>
      <c r="L163">
        <v>968</v>
      </c>
      <c r="AC163">
        <f t="shared" si="33"/>
        <v>8943</v>
      </c>
      <c r="AD163">
        <f t="shared" si="34"/>
        <v>1913</v>
      </c>
      <c r="AE163">
        <f t="shared" si="35"/>
        <v>1913</v>
      </c>
      <c r="AF163">
        <f t="shared" si="36"/>
        <v>1913</v>
      </c>
      <c r="AG163">
        <f t="shared" si="37"/>
        <v>0.21391032092139103</v>
      </c>
      <c r="AH163">
        <f t="shared" si="38"/>
        <v>0.21391032092139103</v>
      </c>
      <c r="AI163">
        <f t="shared" si="8"/>
        <v>0.17621591746499632</v>
      </c>
      <c r="AJ163">
        <f t="shared" si="9"/>
        <v>0.17621591746499632</v>
      </c>
      <c r="AK163">
        <v>4742</v>
      </c>
      <c r="AL163">
        <v>6114</v>
      </c>
      <c r="AM163">
        <v>10856</v>
      </c>
      <c r="AN163" t="s">
        <v>43</v>
      </c>
      <c r="AO163">
        <v>0</v>
      </c>
    </row>
    <row r="164" spans="1:41" x14ac:dyDescent="0.2">
      <c r="A164" t="s">
        <v>249</v>
      </c>
      <c r="B164" s="4" t="str">
        <f t="shared" si="0"/>
        <v>25-2-2</v>
      </c>
      <c r="C164" t="s">
        <v>247</v>
      </c>
      <c r="D164" s="5" t="str">
        <f t="shared" si="40"/>
        <v>25-2</v>
      </c>
      <c r="E164" t="s">
        <v>248</v>
      </c>
      <c r="F164">
        <v>25</v>
      </c>
      <c r="G164">
        <v>4870</v>
      </c>
      <c r="H164">
        <v>5226</v>
      </c>
      <c r="K164">
        <v>132</v>
      </c>
      <c r="L164">
        <v>210</v>
      </c>
      <c r="AB164">
        <v>3</v>
      </c>
      <c r="AC164">
        <f t="shared" si="33"/>
        <v>10096</v>
      </c>
      <c r="AD164">
        <f t="shared" si="34"/>
        <v>342</v>
      </c>
      <c r="AE164">
        <f t="shared" si="35"/>
        <v>342</v>
      </c>
      <c r="AF164">
        <f t="shared" si="36"/>
        <v>342</v>
      </c>
      <c r="AG164">
        <f t="shared" si="37"/>
        <v>3.3874801901743266E-2</v>
      </c>
      <c r="AH164">
        <f t="shared" si="38"/>
        <v>3.3874801901743266E-2</v>
      </c>
      <c r="AI164">
        <f t="shared" si="8"/>
        <v>3.2755483191265207E-2</v>
      </c>
      <c r="AJ164">
        <f t="shared" si="9"/>
        <v>3.2755483191265207E-2</v>
      </c>
      <c r="AK164">
        <v>5002</v>
      </c>
      <c r="AL164">
        <v>5439</v>
      </c>
      <c r="AM164">
        <v>10441</v>
      </c>
      <c r="AN164" t="s">
        <v>43</v>
      </c>
      <c r="AO164">
        <v>0</v>
      </c>
    </row>
    <row r="165" spans="1:41" x14ac:dyDescent="0.2">
      <c r="A165" t="s">
        <v>250</v>
      </c>
      <c r="B165" s="4" t="str">
        <f t="shared" si="0"/>
        <v>25-2-3</v>
      </c>
      <c r="C165" t="s">
        <v>247</v>
      </c>
      <c r="D165" s="5" t="str">
        <f t="shared" si="40"/>
        <v>25-2</v>
      </c>
      <c r="E165" t="s">
        <v>248</v>
      </c>
      <c r="F165">
        <v>25</v>
      </c>
      <c r="G165">
        <v>6799</v>
      </c>
      <c r="H165">
        <v>7729</v>
      </c>
      <c r="K165">
        <v>1650</v>
      </c>
      <c r="L165">
        <v>1957</v>
      </c>
      <c r="O165">
        <v>565</v>
      </c>
      <c r="P165">
        <v>743</v>
      </c>
      <c r="S165">
        <v>21</v>
      </c>
      <c r="T165">
        <v>31</v>
      </c>
      <c r="AC165">
        <f t="shared" si="33"/>
        <v>14528</v>
      </c>
      <c r="AD165">
        <f t="shared" si="34"/>
        <v>4967</v>
      </c>
      <c r="AE165">
        <f t="shared" si="35"/>
        <v>4967</v>
      </c>
      <c r="AF165">
        <f t="shared" si="36"/>
        <v>3607</v>
      </c>
      <c r="AG165">
        <f t="shared" si="37"/>
        <v>0.34189151982378857</v>
      </c>
      <c r="AH165">
        <f t="shared" si="38"/>
        <v>0.24827918502202642</v>
      </c>
      <c r="AI165">
        <f t="shared" si="8"/>
        <v>0.18502180046165684</v>
      </c>
      <c r="AJ165">
        <f t="shared" si="9"/>
        <v>0.2547832777635291</v>
      </c>
      <c r="AK165">
        <v>9035</v>
      </c>
      <c r="AL165">
        <v>10460</v>
      </c>
      <c r="AM165">
        <v>19495</v>
      </c>
      <c r="AN165" t="s">
        <v>43</v>
      </c>
      <c r="AO165">
        <v>0</v>
      </c>
    </row>
    <row r="166" spans="1:41" x14ac:dyDescent="0.2">
      <c r="A166" t="s">
        <v>251</v>
      </c>
      <c r="B166" s="4" t="str">
        <f t="shared" si="0"/>
        <v>25-2-4</v>
      </c>
      <c r="C166" t="s">
        <v>247</v>
      </c>
      <c r="D166" s="5" t="str">
        <f t="shared" si="40"/>
        <v>25-2</v>
      </c>
      <c r="E166" t="s">
        <v>248</v>
      </c>
      <c r="F166">
        <v>25</v>
      </c>
      <c r="G166">
        <v>2294</v>
      </c>
      <c r="H166">
        <v>3905</v>
      </c>
      <c r="K166">
        <v>969</v>
      </c>
      <c r="L166">
        <v>1211</v>
      </c>
      <c r="AA166">
        <v>13</v>
      </c>
      <c r="AB166">
        <v>37</v>
      </c>
      <c r="AC166">
        <f t="shared" si="33"/>
        <v>6199</v>
      </c>
      <c r="AD166">
        <f t="shared" si="34"/>
        <v>2180</v>
      </c>
      <c r="AE166">
        <f t="shared" si="35"/>
        <v>2180</v>
      </c>
      <c r="AF166">
        <f t="shared" si="36"/>
        <v>2180</v>
      </c>
      <c r="AG166">
        <f t="shared" si="37"/>
        <v>0.35166962413292469</v>
      </c>
      <c r="AH166">
        <f t="shared" si="38"/>
        <v>0.35166962413292469</v>
      </c>
      <c r="AI166">
        <f t="shared" si="8"/>
        <v>0.2586309170720133</v>
      </c>
      <c r="AJ166">
        <f t="shared" si="9"/>
        <v>0.2586309170720133</v>
      </c>
      <c r="AK166">
        <v>3276</v>
      </c>
      <c r="AL166">
        <v>5153</v>
      </c>
      <c r="AM166">
        <v>8429</v>
      </c>
      <c r="AN166" t="s">
        <v>43</v>
      </c>
      <c r="AO166">
        <v>0</v>
      </c>
    </row>
    <row r="167" spans="1:41" x14ac:dyDescent="0.2">
      <c r="A167" t="s">
        <v>252</v>
      </c>
      <c r="B167" s="4" t="str">
        <f t="shared" si="0"/>
        <v>25-2-5</v>
      </c>
      <c r="C167" t="s">
        <v>247</v>
      </c>
      <c r="D167" s="5" t="str">
        <f t="shared" si="40"/>
        <v>25-2</v>
      </c>
      <c r="E167" t="s">
        <v>248</v>
      </c>
      <c r="F167">
        <v>25</v>
      </c>
      <c r="G167">
        <v>3137</v>
      </c>
      <c r="H167">
        <v>4496</v>
      </c>
      <c r="K167">
        <v>105</v>
      </c>
      <c r="L167">
        <v>108</v>
      </c>
      <c r="AC167">
        <f t="shared" si="33"/>
        <v>7633</v>
      </c>
      <c r="AD167">
        <f t="shared" si="34"/>
        <v>213</v>
      </c>
      <c r="AE167">
        <f t="shared" si="35"/>
        <v>213</v>
      </c>
      <c r="AF167">
        <f t="shared" si="36"/>
        <v>213</v>
      </c>
      <c r="AG167">
        <f t="shared" si="37"/>
        <v>2.7905148696449628E-2</v>
      </c>
      <c r="AH167">
        <f t="shared" si="38"/>
        <v>2.7905148696449628E-2</v>
      </c>
      <c r="AI167">
        <f t="shared" si="8"/>
        <v>2.7147591129237827E-2</v>
      </c>
      <c r="AJ167">
        <f t="shared" si="9"/>
        <v>2.7147591129237827E-2</v>
      </c>
      <c r="AK167">
        <v>3242</v>
      </c>
      <c r="AL167">
        <v>4604</v>
      </c>
      <c r="AM167">
        <v>7846</v>
      </c>
      <c r="AN167" t="s">
        <v>43</v>
      </c>
      <c r="AO167">
        <v>0</v>
      </c>
    </row>
    <row r="168" spans="1:41" x14ac:dyDescent="0.2">
      <c r="A168" t="s">
        <v>253</v>
      </c>
      <c r="B168" s="4" t="str">
        <f t="shared" si="0"/>
        <v>25-3-1</v>
      </c>
      <c r="C168" t="s">
        <v>254</v>
      </c>
      <c r="D168" s="5" t="str">
        <f t="shared" ref="D168:D172" si="41">F168&amp;"-"&amp;3</f>
        <v>25-3</v>
      </c>
      <c r="E168" t="s">
        <v>248</v>
      </c>
      <c r="F168">
        <v>25</v>
      </c>
      <c r="G168">
        <v>19879</v>
      </c>
      <c r="H168">
        <v>21644</v>
      </c>
      <c r="I168">
        <v>91</v>
      </c>
      <c r="J168">
        <v>115</v>
      </c>
      <c r="K168">
        <v>6125</v>
      </c>
      <c r="L168">
        <v>6561</v>
      </c>
      <c r="S168">
        <v>39</v>
      </c>
      <c r="T168">
        <v>49</v>
      </c>
      <c r="AC168">
        <f t="shared" si="33"/>
        <v>41523</v>
      </c>
      <c r="AD168">
        <f t="shared" si="34"/>
        <v>12980</v>
      </c>
      <c r="AE168">
        <f t="shared" si="35"/>
        <v>12980</v>
      </c>
      <c r="AF168">
        <f t="shared" si="36"/>
        <v>12686</v>
      </c>
      <c r="AG168">
        <f t="shared" si="37"/>
        <v>0.31259783734315921</v>
      </c>
      <c r="AH168">
        <f t="shared" si="38"/>
        <v>0.30551742407822169</v>
      </c>
      <c r="AI168">
        <f t="shared" si="8"/>
        <v>0.23275782984422877</v>
      </c>
      <c r="AJ168">
        <f t="shared" si="9"/>
        <v>0.23815202832871585</v>
      </c>
      <c r="AK168">
        <v>26134</v>
      </c>
      <c r="AL168">
        <v>28369</v>
      </c>
      <c r="AM168">
        <v>54503</v>
      </c>
      <c r="AN168" t="s">
        <v>43</v>
      </c>
      <c r="AO168" s="6">
        <v>1</v>
      </c>
    </row>
    <row r="169" spans="1:41" x14ac:dyDescent="0.2">
      <c r="A169" t="s">
        <v>255</v>
      </c>
      <c r="B169" s="4" t="str">
        <f t="shared" si="0"/>
        <v>25-3-2</v>
      </c>
      <c r="C169" t="s">
        <v>254</v>
      </c>
      <c r="D169" s="5" t="str">
        <f t="shared" si="41"/>
        <v>25-3</v>
      </c>
      <c r="E169" t="s">
        <v>248</v>
      </c>
      <c r="F169">
        <v>25</v>
      </c>
      <c r="G169">
        <v>6468</v>
      </c>
      <c r="H169">
        <v>7393</v>
      </c>
      <c r="I169">
        <v>281</v>
      </c>
      <c r="J169">
        <v>299</v>
      </c>
      <c r="K169">
        <v>1483</v>
      </c>
      <c r="L169">
        <v>1671</v>
      </c>
      <c r="S169">
        <v>80</v>
      </c>
      <c r="T169">
        <v>66</v>
      </c>
      <c r="AC169">
        <f t="shared" si="33"/>
        <v>13861</v>
      </c>
      <c r="AD169">
        <f t="shared" si="34"/>
        <v>3880</v>
      </c>
      <c r="AE169">
        <f t="shared" si="35"/>
        <v>3880</v>
      </c>
      <c r="AF169">
        <f t="shared" si="36"/>
        <v>3154</v>
      </c>
      <c r="AG169">
        <f t="shared" si="37"/>
        <v>0.27992208354375586</v>
      </c>
      <c r="AH169">
        <f t="shared" si="38"/>
        <v>0.22754491017964071</v>
      </c>
      <c r="AI169">
        <f t="shared" si="8"/>
        <v>0.17747017780778754</v>
      </c>
      <c r="AJ169">
        <f t="shared" si="9"/>
        <v>0.21832095431015081</v>
      </c>
      <c r="AK169">
        <v>8312</v>
      </c>
      <c r="AL169">
        <v>9459</v>
      </c>
      <c r="AM169">
        <v>17772</v>
      </c>
      <c r="AN169" t="s">
        <v>43</v>
      </c>
      <c r="AO169">
        <v>0</v>
      </c>
    </row>
    <row r="170" spans="1:41" x14ac:dyDescent="0.2">
      <c r="A170" t="s">
        <v>256</v>
      </c>
      <c r="B170" s="4" t="str">
        <f t="shared" si="0"/>
        <v>25-3-3</v>
      </c>
      <c r="C170" t="s">
        <v>254</v>
      </c>
      <c r="D170" s="5" t="str">
        <f t="shared" si="41"/>
        <v>25-3</v>
      </c>
      <c r="E170" t="s">
        <v>248</v>
      </c>
      <c r="F170">
        <v>25</v>
      </c>
      <c r="G170">
        <v>4874</v>
      </c>
      <c r="H170">
        <v>5045</v>
      </c>
      <c r="K170">
        <v>1231</v>
      </c>
      <c r="L170">
        <v>1186</v>
      </c>
      <c r="AC170">
        <f t="shared" si="33"/>
        <v>9919</v>
      </c>
      <c r="AD170">
        <f t="shared" si="34"/>
        <v>2417</v>
      </c>
      <c r="AE170">
        <f t="shared" si="35"/>
        <v>2417</v>
      </c>
      <c r="AF170">
        <f t="shared" si="36"/>
        <v>2417</v>
      </c>
      <c r="AG170">
        <f t="shared" si="37"/>
        <v>0.24367375743522532</v>
      </c>
      <c r="AH170">
        <f t="shared" si="38"/>
        <v>0.24367375743522532</v>
      </c>
      <c r="AI170">
        <f t="shared" si="8"/>
        <v>0.19593060959792477</v>
      </c>
      <c r="AJ170">
        <f t="shared" si="9"/>
        <v>0.19593060959792477</v>
      </c>
      <c r="AK170">
        <v>6105</v>
      </c>
      <c r="AL170">
        <v>6231</v>
      </c>
      <c r="AM170">
        <v>12336</v>
      </c>
      <c r="AN170" t="s">
        <v>43</v>
      </c>
      <c r="AO170">
        <v>0</v>
      </c>
    </row>
    <row r="171" spans="1:41" x14ac:dyDescent="0.2">
      <c r="A171" s="6" t="s">
        <v>257</v>
      </c>
      <c r="B171" s="11" t="str">
        <f t="shared" si="0"/>
        <v>25-3-4</v>
      </c>
      <c r="C171" s="6" t="s">
        <v>254</v>
      </c>
      <c r="D171" s="12" t="str">
        <f t="shared" si="41"/>
        <v>25-3</v>
      </c>
      <c r="E171" s="6" t="s">
        <v>248</v>
      </c>
      <c r="F171" s="6">
        <v>25</v>
      </c>
      <c r="G171" s="13"/>
      <c r="H171" s="6">
        <v>6705</v>
      </c>
      <c r="I171" s="6"/>
      <c r="J171" s="6"/>
      <c r="K171" s="6"/>
      <c r="L171" s="6">
        <v>1191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>
        <f t="shared" si="33"/>
        <v>6705</v>
      </c>
      <c r="AD171" s="6">
        <f t="shared" si="34"/>
        <v>1191</v>
      </c>
      <c r="AE171" s="6">
        <f t="shared" si="35"/>
        <v>1191</v>
      </c>
      <c r="AF171" s="6">
        <f t="shared" si="36"/>
        <v>1191</v>
      </c>
      <c r="AG171" s="6">
        <f t="shared" si="37"/>
        <v>0.17762863534675616</v>
      </c>
      <c r="AH171" s="6">
        <f t="shared" si="38"/>
        <v>0.17762863534675616</v>
      </c>
      <c r="AI171">
        <f t="shared" si="8"/>
        <v>0.15083586626139817</v>
      </c>
      <c r="AJ171">
        <f t="shared" si="9"/>
        <v>0.15083586626139817</v>
      </c>
      <c r="AK171" s="6"/>
      <c r="AL171" s="6"/>
      <c r="AM171">
        <f>SUM(G171:Z171)</f>
        <v>7896</v>
      </c>
      <c r="AN171" s="6" t="s">
        <v>258</v>
      </c>
      <c r="AO171">
        <v>0</v>
      </c>
    </row>
    <row r="172" spans="1:41" x14ac:dyDescent="0.2">
      <c r="A172" t="s">
        <v>259</v>
      </c>
      <c r="B172" s="4" t="str">
        <f t="shared" si="0"/>
        <v>25-3-5</v>
      </c>
      <c r="C172" t="s">
        <v>254</v>
      </c>
      <c r="D172" s="5" t="str">
        <f t="shared" si="41"/>
        <v>25-3</v>
      </c>
      <c r="E172" t="s">
        <v>248</v>
      </c>
      <c r="F172">
        <v>25</v>
      </c>
      <c r="G172">
        <v>10009</v>
      </c>
      <c r="H172">
        <v>10631</v>
      </c>
      <c r="I172">
        <v>557</v>
      </c>
      <c r="J172">
        <v>544</v>
      </c>
      <c r="K172">
        <v>376</v>
      </c>
      <c r="L172">
        <v>393</v>
      </c>
      <c r="AC172">
        <f t="shared" si="33"/>
        <v>20640</v>
      </c>
      <c r="AD172">
        <f t="shared" si="34"/>
        <v>1870</v>
      </c>
      <c r="AE172">
        <f t="shared" si="35"/>
        <v>1870</v>
      </c>
      <c r="AF172">
        <f t="shared" si="36"/>
        <v>769</v>
      </c>
      <c r="AG172">
        <f t="shared" si="37"/>
        <v>9.0600775193798444E-2</v>
      </c>
      <c r="AH172">
        <f t="shared" si="38"/>
        <v>3.7257751937984494E-2</v>
      </c>
      <c r="AI172">
        <f t="shared" si="8"/>
        <v>3.4162594402487784E-2</v>
      </c>
      <c r="AJ172">
        <f t="shared" si="9"/>
        <v>8.3074189249222566E-2</v>
      </c>
      <c r="AK172">
        <v>10942</v>
      </c>
      <c r="AL172">
        <v>11568</v>
      </c>
      <c r="AM172">
        <v>22510</v>
      </c>
      <c r="AN172" t="s">
        <v>43</v>
      </c>
      <c r="AO172">
        <v>0</v>
      </c>
    </row>
    <row r="173" spans="1:41" x14ac:dyDescent="0.2">
      <c r="A173" t="s">
        <v>260</v>
      </c>
      <c r="B173" s="4" t="str">
        <f t="shared" si="0"/>
        <v>25-1-1</v>
      </c>
      <c r="C173" t="s">
        <v>261</v>
      </c>
      <c r="D173" s="5" t="str">
        <f t="shared" ref="D173:D196" si="42">F173&amp;"-"&amp;1</f>
        <v>25-1</v>
      </c>
      <c r="E173" t="s">
        <v>248</v>
      </c>
      <c r="F173">
        <v>25</v>
      </c>
      <c r="G173">
        <v>20030</v>
      </c>
      <c r="H173">
        <v>22797</v>
      </c>
      <c r="I173">
        <v>280</v>
      </c>
      <c r="J173">
        <v>375</v>
      </c>
      <c r="K173">
        <v>4557</v>
      </c>
      <c r="L173">
        <v>5098</v>
      </c>
      <c r="AC173">
        <f t="shared" si="33"/>
        <v>42827</v>
      </c>
      <c r="AD173">
        <f t="shared" si="34"/>
        <v>10310</v>
      </c>
      <c r="AE173">
        <f t="shared" si="35"/>
        <v>10310</v>
      </c>
      <c r="AF173">
        <f t="shared" si="36"/>
        <v>9655</v>
      </c>
      <c r="AG173">
        <f t="shared" si="37"/>
        <v>0.24073598430896398</v>
      </c>
      <c r="AH173">
        <f t="shared" si="38"/>
        <v>0.22544189413220631</v>
      </c>
      <c r="AI173">
        <f t="shared" si="8"/>
        <v>0.18170013361687712</v>
      </c>
      <c r="AJ173">
        <f t="shared" si="9"/>
        <v>0.19402676101398272</v>
      </c>
      <c r="AK173">
        <v>24867</v>
      </c>
      <c r="AL173">
        <v>28270</v>
      </c>
      <c r="AM173">
        <v>53137</v>
      </c>
      <c r="AN173" t="s">
        <v>43</v>
      </c>
      <c r="AO173">
        <v>0</v>
      </c>
    </row>
    <row r="174" spans="1:41" x14ac:dyDescent="0.2">
      <c r="A174" t="s">
        <v>262</v>
      </c>
      <c r="B174" s="4" t="str">
        <f t="shared" si="0"/>
        <v>25-1-2</v>
      </c>
      <c r="C174" t="s">
        <v>261</v>
      </c>
      <c r="D174" s="5" t="str">
        <f t="shared" si="42"/>
        <v>25-1</v>
      </c>
      <c r="E174" t="s">
        <v>248</v>
      </c>
      <c r="F174">
        <v>25</v>
      </c>
      <c r="G174">
        <v>13473</v>
      </c>
      <c r="H174">
        <v>13636</v>
      </c>
      <c r="I174">
        <v>244</v>
      </c>
      <c r="J174">
        <v>242</v>
      </c>
      <c r="K174">
        <v>4577</v>
      </c>
      <c r="L174">
        <v>5153</v>
      </c>
      <c r="O174">
        <v>375</v>
      </c>
      <c r="P174">
        <v>416</v>
      </c>
      <c r="Q174">
        <v>3</v>
      </c>
      <c r="R174">
        <v>3</v>
      </c>
      <c r="S174">
        <v>164</v>
      </c>
      <c r="T174">
        <v>165</v>
      </c>
      <c r="Y174">
        <v>8</v>
      </c>
      <c r="Z174">
        <v>7</v>
      </c>
      <c r="AA174">
        <v>97</v>
      </c>
      <c r="AB174">
        <v>121</v>
      </c>
      <c r="AC174">
        <f t="shared" si="33"/>
        <v>27109</v>
      </c>
      <c r="AD174">
        <f t="shared" si="34"/>
        <v>11336</v>
      </c>
      <c r="AE174">
        <f t="shared" si="35"/>
        <v>11342</v>
      </c>
      <c r="AF174">
        <f t="shared" si="36"/>
        <v>9730</v>
      </c>
      <c r="AG174">
        <f t="shared" si="37"/>
        <v>0.41816370946917997</v>
      </c>
      <c r="AH174">
        <f t="shared" si="38"/>
        <v>0.35892139141982365</v>
      </c>
      <c r="AI174">
        <f t="shared" si="8"/>
        <v>0.25152517836831767</v>
      </c>
      <c r="AJ174">
        <f t="shared" si="9"/>
        <v>0.29304105056354046</v>
      </c>
      <c r="AK174">
        <v>18941</v>
      </c>
      <c r="AL174">
        <v>19743</v>
      </c>
      <c r="AM174">
        <v>38684</v>
      </c>
      <c r="AN174" t="s">
        <v>43</v>
      </c>
      <c r="AO174" s="6">
        <v>1</v>
      </c>
    </row>
    <row r="175" spans="1:41" x14ac:dyDescent="0.2">
      <c r="A175" t="s">
        <v>263</v>
      </c>
      <c r="B175" s="4" t="str">
        <f t="shared" si="0"/>
        <v>25-1-3</v>
      </c>
      <c r="C175" t="s">
        <v>261</v>
      </c>
      <c r="D175" s="5" t="str">
        <f t="shared" si="42"/>
        <v>25-1</v>
      </c>
      <c r="E175" t="s">
        <v>248</v>
      </c>
      <c r="F175">
        <v>25</v>
      </c>
      <c r="G175">
        <v>6858</v>
      </c>
      <c r="H175">
        <v>8636</v>
      </c>
      <c r="K175">
        <v>3657</v>
      </c>
      <c r="L175">
        <v>4758</v>
      </c>
      <c r="S175">
        <v>152</v>
      </c>
      <c r="T175">
        <v>208</v>
      </c>
      <c r="AC175">
        <f t="shared" si="33"/>
        <v>15494</v>
      </c>
      <c r="AD175">
        <f t="shared" si="34"/>
        <v>8775</v>
      </c>
      <c r="AE175">
        <f t="shared" si="35"/>
        <v>8775</v>
      </c>
      <c r="AF175">
        <f t="shared" si="36"/>
        <v>8415</v>
      </c>
      <c r="AG175">
        <f t="shared" si="37"/>
        <v>0.56634826384406867</v>
      </c>
      <c r="AH175">
        <f t="shared" si="38"/>
        <v>0.54311346327610688</v>
      </c>
      <c r="AI175">
        <f t="shared" si="8"/>
        <v>0.34673863776834646</v>
      </c>
      <c r="AJ175">
        <f t="shared" si="9"/>
        <v>0.36157237628250033</v>
      </c>
      <c r="AK175">
        <v>10667</v>
      </c>
      <c r="AL175">
        <v>13602</v>
      </c>
      <c r="AM175">
        <v>24269</v>
      </c>
      <c r="AN175" t="s">
        <v>43</v>
      </c>
      <c r="AO175">
        <v>0</v>
      </c>
    </row>
    <row r="176" spans="1:41" x14ac:dyDescent="0.2">
      <c r="A176" t="s">
        <v>264</v>
      </c>
      <c r="B176" s="4" t="str">
        <f t="shared" si="0"/>
        <v>25-1-4</v>
      </c>
      <c r="C176" t="s">
        <v>261</v>
      </c>
      <c r="D176" s="5" t="str">
        <f t="shared" si="42"/>
        <v>25-1</v>
      </c>
      <c r="E176" t="s">
        <v>248</v>
      </c>
      <c r="F176">
        <v>25</v>
      </c>
      <c r="G176">
        <v>14563</v>
      </c>
      <c r="H176">
        <v>15588</v>
      </c>
      <c r="J176">
        <v>1</v>
      </c>
      <c r="K176">
        <v>1100</v>
      </c>
      <c r="L176">
        <v>1199</v>
      </c>
      <c r="O176">
        <v>42</v>
      </c>
      <c r="P176">
        <v>37</v>
      </c>
      <c r="AB176">
        <v>11</v>
      </c>
      <c r="AC176">
        <f t="shared" si="33"/>
        <v>30151</v>
      </c>
      <c r="AD176">
        <f t="shared" si="34"/>
        <v>2379</v>
      </c>
      <c r="AE176">
        <f t="shared" si="35"/>
        <v>2379</v>
      </c>
      <c r="AF176">
        <f t="shared" si="36"/>
        <v>2299</v>
      </c>
      <c r="AG176">
        <f t="shared" si="37"/>
        <v>7.890285562667905E-2</v>
      </c>
      <c r="AH176">
        <f t="shared" si="38"/>
        <v>7.6249543962057645E-2</v>
      </c>
      <c r="AI176">
        <f t="shared" si="8"/>
        <v>7.0649334685473714E-2</v>
      </c>
      <c r="AJ176">
        <f t="shared" si="9"/>
        <v>7.3107771734120031E-2</v>
      </c>
      <c r="AK176">
        <v>15705</v>
      </c>
      <c r="AL176">
        <v>16836</v>
      </c>
      <c r="AM176">
        <v>32541</v>
      </c>
      <c r="AN176" t="s">
        <v>43</v>
      </c>
      <c r="AO176">
        <v>0</v>
      </c>
    </row>
    <row r="177" spans="1:41" x14ac:dyDescent="0.2">
      <c r="A177" t="s">
        <v>265</v>
      </c>
      <c r="B177" s="4" t="str">
        <f t="shared" si="0"/>
        <v>25-1-5</v>
      </c>
      <c r="C177" t="s">
        <v>261</v>
      </c>
      <c r="D177" s="5" t="str">
        <f t="shared" si="42"/>
        <v>25-1</v>
      </c>
      <c r="E177" t="s">
        <v>248</v>
      </c>
      <c r="F177">
        <v>25</v>
      </c>
      <c r="G177">
        <v>9579</v>
      </c>
      <c r="H177">
        <v>12369</v>
      </c>
      <c r="I177">
        <v>17</v>
      </c>
      <c r="J177">
        <v>20</v>
      </c>
      <c r="K177">
        <v>323</v>
      </c>
      <c r="L177">
        <v>369</v>
      </c>
      <c r="O177">
        <v>1641</v>
      </c>
      <c r="P177">
        <v>1859</v>
      </c>
      <c r="AB177">
        <v>10</v>
      </c>
      <c r="AC177">
        <f t="shared" si="33"/>
        <v>21948</v>
      </c>
      <c r="AD177">
        <f t="shared" si="34"/>
        <v>4229</v>
      </c>
      <c r="AE177">
        <f t="shared" si="35"/>
        <v>4229</v>
      </c>
      <c r="AF177">
        <f t="shared" si="36"/>
        <v>692</v>
      </c>
      <c r="AG177">
        <f t="shared" si="37"/>
        <v>0.19268270457444869</v>
      </c>
      <c r="AH177">
        <f t="shared" si="38"/>
        <v>3.1529068707854928E-2</v>
      </c>
      <c r="AI177">
        <f t="shared" si="8"/>
        <v>2.6425325543208464E-2</v>
      </c>
      <c r="AJ177">
        <f t="shared" si="9"/>
        <v>0.16149234352923206</v>
      </c>
      <c r="AK177">
        <v>11560</v>
      </c>
      <c r="AL177">
        <v>14627</v>
      </c>
      <c r="AM177">
        <v>26187</v>
      </c>
      <c r="AN177" t="s">
        <v>43</v>
      </c>
      <c r="AO177">
        <v>0</v>
      </c>
    </row>
    <row r="178" spans="1:41" x14ac:dyDescent="0.2">
      <c r="A178" t="s">
        <v>266</v>
      </c>
      <c r="B178" s="4" t="str">
        <f t="shared" si="0"/>
        <v>25-1-6</v>
      </c>
      <c r="C178" t="s">
        <v>261</v>
      </c>
      <c r="D178" s="5" t="str">
        <f t="shared" si="42"/>
        <v>25-1</v>
      </c>
      <c r="E178" t="s">
        <v>248</v>
      </c>
      <c r="F178">
        <v>25</v>
      </c>
      <c r="G178">
        <v>11322</v>
      </c>
      <c r="H178">
        <v>16373</v>
      </c>
      <c r="I178">
        <v>60</v>
      </c>
      <c r="J178">
        <v>75</v>
      </c>
      <c r="K178">
        <v>4169</v>
      </c>
      <c r="L178">
        <v>6312</v>
      </c>
      <c r="S178">
        <v>322</v>
      </c>
      <c r="T178">
        <v>412</v>
      </c>
      <c r="AC178">
        <f t="shared" si="33"/>
        <v>27695</v>
      </c>
      <c r="AD178">
        <f t="shared" si="34"/>
        <v>11350</v>
      </c>
      <c r="AE178">
        <f t="shared" si="35"/>
        <v>11350</v>
      </c>
      <c r="AF178">
        <f t="shared" si="36"/>
        <v>10481</v>
      </c>
      <c r="AG178">
        <f t="shared" si="37"/>
        <v>0.40982126737678282</v>
      </c>
      <c r="AH178">
        <f t="shared" si="38"/>
        <v>0.37844376241198774</v>
      </c>
      <c r="AI178">
        <f t="shared" si="8"/>
        <v>0.26843385836854911</v>
      </c>
      <c r="AJ178">
        <f t="shared" si="9"/>
        <v>0.29069022922269178</v>
      </c>
      <c r="AK178">
        <v>15873</v>
      </c>
      <c r="AL178">
        <v>23172</v>
      </c>
      <c r="AM178">
        <v>39045</v>
      </c>
      <c r="AN178" t="s">
        <v>43</v>
      </c>
      <c r="AO178">
        <v>0</v>
      </c>
    </row>
    <row r="179" spans="1:41" x14ac:dyDescent="0.2">
      <c r="A179" t="s">
        <v>267</v>
      </c>
      <c r="B179" s="4" t="str">
        <f t="shared" si="0"/>
        <v>25-1-7</v>
      </c>
      <c r="C179" t="s">
        <v>261</v>
      </c>
      <c r="D179" s="5" t="str">
        <f t="shared" si="42"/>
        <v>25-1</v>
      </c>
      <c r="E179" t="s">
        <v>248</v>
      </c>
      <c r="F179">
        <v>25</v>
      </c>
      <c r="G179">
        <v>21862</v>
      </c>
      <c r="H179">
        <v>23847</v>
      </c>
      <c r="I179">
        <v>3</v>
      </c>
      <c r="J179">
        <v>8</v>
      </c>
      <c r="K179">
        <v>8765</v>
      </c>
      <c r="L179">
        <v>9613</v>
      </c>
      <c r="O179">
        <v>200</v>
      </c>
      <c r="P179">
        <v>203</v>
      </c>
      <c r="AC179">
        <f t="shared" si="33"/>
        <v>45709</v>
      </c>
      <c r="AD179">
        <f t="shared" si="34"/>
        <v>18792</v>
      </c>
      <c r="AE179">
        <f t="shared" si="35"/>
        <v>18792</v>
      </c>
      <c r="AF179">
        <f t="shared" si="36"/>
        <v>18378</v>
      </c>
      <c r="AG179">
        <f t="shared" si="37"/>
        <v>0.41112253604323001</v>
      </c>
      <c r="AH179">
        <f t="shared" si="38"/>
        <v>0.40206523879323547</v>
      </c>
      <c r="AI179">
        <f t="shared" si="8"/>
        <v>0.28492581510364179</v>
      </c>
      <c r="AJ179">
        <f t="shared" si="9"/>
        <v>0.29134432024309703</v>
      </c>
      <c r="AK179">
        <v>30830</v>
      </c>
      <c r="AL179">
        <v>33671</v>
      </c>
      <c r="AM179">
        <v>64501</v>
      </c>
      <c r="AN179" t="s">
        <v>43</v>
      </c>
      <c r="AO179">
        <v>0</v>
      </c>
    </row>
    <row r="180" spans="1:41" x14ac:dyDescent="0.2">
      <c r="A180" t="s">
        <v>268</v>
      </c>
      <c r="B180" s="4" t="str">
        <f t="shared" si="0"/>
        <v>25-1-8</v>
      </c>
      <c r="C180" t="s">
        <v>261</v>
      </c>
      <c r="D180" s="5" t="str">
        <f t="shared" si="42"/>
        <v>25-1</v>
      </c>
      <c r="E180" t="s">
        <v>248</v>
      </c>
      <c r="F180">
        <v>25</v>
      </c>
      <c r="G180">
        <v>15665</v>
      </c>
      <c r="H180">
        <v>19691</v>
      </c>
      <c r="I180">
        <v>9</v>
      </c>
      <c r="J180">
        <v>12</v>
      </c>
      <c r="K180">
        <v>2863</v>
      </c>
      <c r="L180">
        <v>3915</v>
      </c>
      <c r="O180">
        <v>116</v>
      </c>
      <c r="P180">
        <v>179</v>
      </c>
      <c r="S180">
        <v>95</v>
      </c>
      <c r="T180">
        <v>136</v>
      </c>
      <c r="AC180">
        <f t="shared" si="33"/>
        <v>35356</v>
      </c>
      <c r="AD180">
        <f t="shared" si="34"/>
        <v>7325</v>
      </c>
      <c r="AE180">
        <f t="shared" si="35"/>
        <v>7325</v>
      </c>
      <c r="AF180">
        <f t="shared" si="36"/>
        <v>6778</v>
      </c>
      <c r="AG180">
        <f t="shared" si="37"/>
        <v>0.20717841384772034</v>
      </c>
      <c r="AH180">
        <f t="shared" si="38"/>
        <v>0.19170720669759023</v>
      </c>
      <c r="AI180">
        <f t="shared" si="8"/>
        <v>0.15880602610060682</v>
      </c>
      <c r="AJ180">
        <f t="shared" si="9"/>
        <v>0.17162203322321407</v>
      </c>
      <c r="AK180">
        <v>18748</v>
      </c>
      <c r="AL180">
        <v>23933</v>
      </c>
      <c r="AM180">
        <v>42681</v>
      </c>
      <c r="AN180" t="s">
        <v>43</v>
      </c>
      <c r="AO180">
        <v>0</v>
      </c>
    </row>
    <row r="181" spans="1:41" x14ac:dyDescent="0.2">
      <c r="A181" t="s">
        <v>269</v>
      </c>
      <c r="B181" s="4" t="str">
        <f t="shared" si="0"/>
        <v>25-1-9</v>
      </c>
      <c r="C181" t="s">
        <v>261</v>
      </c>
      <c r="D181" s="5" t="str">
        <f t="shared" si="42"/>
        <v>25-1</v>
      </c>
      <c r="E181" t="s">
        <v>248</v>
      </c>
      <c r="F181">
        <v>25</v>
      </c>
      <c r="G181">
        <v>8066</v>
      </c>
      <c r="H181">
        <v>11179</v>
      </c>
      <c r="I181">
        <v>51</v>
      </c>
      <c r="J181">
        <v>72</v>
      </c>
      <c r="K181">
        <v>2507</v>
      </c>
      <c r="L181">
        <v>3755</v>
      </c>
      <c r="AC181">
        <f t="shared" si="33"/>
        <v>19245</v>
      </c>
      <c r="AD181">
        <f t="shared" si="34"/>
        <v>6385</v>
      </c>
      <c r="AE181">
        <f t="shared" si="35"/>
        <v>6385</v>
      </c>
      <c r="AF181">
        <f t="shared" si="36"/>
        <v>6262</v>
      </c>
      <c r="AG181">
        <f t="shared" si="37"/>
        <v>0.33177448687970901</v>
      </c>
      <c r="AH181">
        <f t="shared" si="38"/>
        <v>0.3253832164198493</v>
      </c>
      <c r="AI181">
        <f t="shared" si="8"/>
        <v>0.2443230589153336</v>
      </c>
      <c r="AJ181">
        <f t="shared" si="9"/>
        <v>0.24912212251268046</v>
      </c>
      <c r="AK181">
        <v>10624</v>
      </c>
      <c r="AL181">
        <v>15006</v>
      </c>
      <c r="AM181">
        <v>25630</v>
      </c>
      <c r="AN181" t="s">
        <v>43</v>
      </c>
      <c r="AO181">
        <v>0</v>
      </c>
    </row>
    <row r="182" spans="1:41" x14ac:dyDescent="0.2">
      <c r="A182" t="s">
        <v>270</v>
      </c>
      <c r="B182" s="4" t="str">
        <f t="shared" si="0"/>
        <v>25-1-10</v>
      </c>
      <c r="C182" t="s">
        <v>261</v>
      </c>
      <c r="D182" s="5" t="str">
        <f t="shared" si="42"/>
        <v>25-1</v>
      </c>
      <c r="E182" t="s">
        <v>248</v>
      </c>
      <c r="F182">
        <v>25</v>
      </c>
      <c r="G182">
        <v>21448</v>
      </c>
      <c r="H182">
        <v>25224</v>
      </c>
      <c r="K182">
        <v>546</v>
      </c>
      <c r="L182">
        <v>621</v>
      </c>
      <c r="O182">
        <v>171</v>
      </c>
      <c r="P182">
        <v>183</v>
      </c>
      <c r="AC182">
        <f t="shared" si="33"/>
        <v>46672</v>
      </c>
      <c r="AD182">
        <f t="shared" si="34"/>
        <v>1521</v>
      </c>
      <c r="AE182">
        <f t="shared" si="35"/>
        <v>1521</v>
      </c>
      <c r="AF182">
        <f t="shared" si="36"/>
        <v>1167</v>
      </c>
      <c r="AG182">
        <f t="shared" si="37"/>
        <v>3.258913267055194E-2</v>
      </c>
      <c r="AH182">
        <f t="shared" si="38"/>
        <v>2.5004285224545765E-2</v>
      </c>
      <c r="AI182">
        <f t="shared" si="8"/>
        <v>2.4215134978108854E-2</v>
      </c>
      <c r="AJ182">
        <f t="shared" si="9"/>
        <v>3.1560600087149587E-2</v>
      </c>
      <c r="AK182">
        <v>22165</v>
      </c>
      <c r="AL182">
        <v>26028</v>
      </c>
      <c r="AM182">
        <v>48193</v>
      </c>
      <c r="AN182" t="s">
        <v>43</v>
      </c>
      <c r="AO182">
        <v>0</v>
      </c>
    </row>
    <row r="183" spans="1:41" x14ac:dyDescent="0.2">
      <c r="A183" s="10" t="s">
        <v>271</v>
      </c>
      <c r="B183" s="4" t="str">
        <f t="shared" si="0"/>
        <v>27-1-1</v>
      </c>
      <c r="C183" t="s">
        <v>272</v>
      </c>
      <c r="D183" s="5" t="str">
        <f t="shared" si="42"/>
        <v>27-1</v>
      </c>
      <c r="E183" t="s">
        <v>273</v>
      </c>
      <c r="F183">
        <v>27</v>
      </c>
      <c r="G183">
        <v>26844</v>
      </c>
      <c r="H183">
        <v>28802</v>
      </c>
      <c r="I183">
        <v>1765</v>
      </c>
      <c r="J183">
        <v>1751</v>
      </c>
      <c r="K183">
        <v>1039</v>
      </c>
      <c r="L183">
        <v>1040</v>
      </c>
      <c r="Q183">
        <v>108</v>
      </c>
      <c r="R183">
        <v>113</v>
      </c>
      <c r="S183">
        <v>156</v>
      </c>
      <c r="T183">
        <v>127</v>
      </c>
      <c r="AA183">
        <v>60</v>
      </c>
      <c r="AB183">
        <v>77</v>
      </c>
      <c r="AC183">
        <f t="shared" si="33"/>
        <v>55646</v>
      </c>
      <c r="AD183">
        <f t="shared" si="34"/>
        <v>5878</v>
      </c>
      <c r="AE183">
        <f t="shared" si="35"/>
        <v>6099</v>
      </c>
      <c r="AF183">
        <f t="shared" si="36"/>
        <v>2079</v>
      </c>
      <c r="AG183">
        <f t="shared" si="37"/>
        <v>0.10563203105344499</v>
      </c>
      <c r="AH183">
        <f t="shared" si="38"/>
        <v>3.7361176005463105E-2</v>
      </c>
      <c r="AI183">
        <f t="shared" si="8"/>
        <v>3.3670742570248602E-2</v>
      </c>
      <c r="AJ183">
        <f t="shared" si="9"/>
        <v>9.5197991740221879E-2</v>
      </c>
      <c r="AM183">
        <f t="shared" ref="AM183:AM206" si="43">SUM(G183:Z183)</f>
        <v>61745</v>
      </c>
      <c r="AN183" t="s">
        <v>274</v>
      </c>
      <c r="AO183">
        <v>0</v>
      </c>
    </row>
    <row r="184" spans="1:41" x14ac:dyDescent="0.2">
      <c r="A184" s="10" t="s">
        <v>275</v>
      </c>
      <c r="B184" s="4" t="str">
        <f t="shared" si="0"/>
        <v>27-1-2</v>
      </c>
      <c r="C184" t="s">
        <v>272</v>
      </c>
      <c r="D184" s="5" t="str">
        <f t="shared" si="42"/>
        <v>27-1</v>
      </c>
      <c r="E184" t="s">
        <v>273</v>
      </c>
      <c r="F184">
        <v>27</v>
      </c>
      <c r="G184">
        <v>31767</v>
      </c>
      <c r="H184">
        <v>33689</v>
      </c>
      <c r="K184">
        <v>5265</v>
      </c>
      <c r="L184">
        <v>6049</v>
      </c>
      <c r="O184">
        <v>147</v>
      </c>
      <c r="P184">
        <v>162</v>
      </c>
      <c r="Q184">
        <v>350</v>
      </c>
      <c r="R184">
        <v>364</v>
      </c>
      <c r="S184">
        <v>1606</v>
      </c>
      <c r="T184">
        <v>1713</v>
      </c>
      <c r="AA184">
        <v>24</v>
      </c>
      <c r="AB184">
        <v>164</v>
      </c>
      <c r="AC184">
        <f t="shared" si="33"/>
        <v>65456</v>
      </c>
      <c r="AD184">
        <f t="shared" si="34"/>
        <v>14942</v>
      </c>
      <c r="AE184">
        <f t="shared" si="35"/>
        <v>15656</v>
      </c>
      <c r="AF184">
        <f t="shared" si="36"/>
        <v>11314</v>
      </c>
      <c r="AG184">
        <f t="shared" si="37"/>
        <v>0.22827548276704962</v>
      </c>
      <c r="AH184">
        <f t="shared" si="38"/>
        <v>0.17284893669029577</v>
      </c>
      <c r="AI184">
        <f t="shared" si="8"/>
        <v>0.13948614261761516</v>
      </c>
      <c r="AJ184">
        <f t="shared" si="9"/>
        <v>0.18421441956800474</v>
      </c>
      <c r="AM184">
        <f t="shared" si="43"/>
        <v>81112</v>
      </c>
      <c r="AN184" t="s">
        <v>274</v>
      </c>
      <c r="AO184">
        <v>0</v>
      </c>
    </row>
    <row r="185" spans="1:41" x14ac:dyDescent="0.2">
      <c r="A185" s="10" t="s">
        <v>276</v>
      </c>
      <c r="B185" s="4" t="str">
        <f t="shared" si="0"/>
        <v>27-1-3</v>
      </c>
      <c r="C185" t="s">
        <v>272</v>
      </c>
      <c r="D185" s="5" t="str">
        <f t="shared" si="42"/>
        <v>27-1</v>
      </c>
      <c r="E185" t="s">
        <v>273</v>
      </c>
      <c r="F185">
        <v>27</v>
      </c>
      <c r="G185">
        <v>12664</v>
      </c>
      <c r="H185">
        <v>10110</v>
      </c>
      <c r="Q185">
        <v>25</v>
      </c>
      <c r="R185">
        <v>25</v>
      </c>
      <c r="AA185">
        <v>84</v>
      </c>
      <c r="AB185">
        <v>163</v>
      </c>
      <c r="AC185">
        <f t="shared" si="33"/>
        <v>22774</v>
      </c>
      <c r="AD185">
        <f t="shared" si="34"/>
        <v>0</v>
      </c>
      <c r="AE185">
        <f t="shared" si="35"/>
        <v>50</v>
      </c>
      <c r="AF185">
        <f t="shared" si="36"/>
        <v>0</v>
      </c>
      <c r="AG185">
        <f t="shared" si="37"/>
        <v>0</v>
      </c>
      <c r="AH185">
        <f t="shared" si="38"/>
        <v>0</v>
      </c>
      <c r="AI185">
        <f t="shared" si="8"/>
        <v>0</v>
      </c>
      <c r="AJ185">
        <f t="shared" si="9"/>
        <v>0</v>
      </c>
      <c r="AM185">
        <f t="shared" si="43"/>
        <v>22824</v>
      </c>
      <c r="AN185" t="s">
        <v>274</v>
      </c>
      <c r="AO185">
        <v>0</v>
      </c>
    </row>
    <row r="186" spans="1:41" x14ac:dyDescent="0.2">
      <c r="A186" s="10" t="s">
        <v>277</v>
      </c>
      <c r="B186" s="4" t="str">
        <f t="shared" si="0"/>
        <v>27-1-4</v>
      </c>
      <c r="C186" t="s">
        <v>272</v>
      </c>
      <c r="D186" s="5" t="str">
        <f t="shared" si="42"/>
        <v>27-1</v>
      </c>
      <c r="E186" t="s">
        <v>273</v>
      </c>
      <c r="F186">
        <v>27</v>
      </c>
      <c r="G186">
        <v>3440</v>
      </c>
      <c r="H186">
        <v>3562</v>
      </c>
      <c r="K186">
        <v>594</v>
      </c>
      <c r="L186">
        <v>624</v>
      </c>
      <c r="S186">
        <v>60</v>
      </c>
      <c r="T186">
        <v>40</v>
      </c>
      <c r="AA186">
        <v>75</v>
      </c>
      <c r="AB186">
        <v>123</v>
      </c>
      <c r="AC186">
        <f t="shared" si="33"/>
        <v>7002</v>
      </c>
      <c r="AD186">
        <f t="shared" si="34"/>
        <v>1318</v>
      </c>
      <c r="AE186">
        <f t="shared" si="35"/>
        <v>1318</v>
      </c>
      <c r="AF186">
        <f t="shared" si="36"/>
        <v>1218</v>
      </c>
      <c r="AG186">
        <f t="shared" si="37"/>
        <v>0.18823193373321909</v>
      </c>
      <c r="AH186">
        <f t="shared" si="38"/>
        <v>0.17395029991431019</v>
      </c>
      <c r="AI186">
        <f t="shared" si="8"/>
        <v>0.14639423076923078</v>
      </c>
      <c r="AJ186">
        <f t="shared" si="9"/>
        <v>0.15841346153846153</v>
      </c>
      <c r="AM186">
        <f t="shared" si="43"/>
        <v>8320</v>
      </c>
      <c r="AN186" t="s">
        <v>274</v>
      </c>
      <c r="AO186">
        <v>0</v>
      </c>
    </row>
    <row r="187" spans="1:41" x14ac:dyDescent="0.2">
      <c r="A187" s="10" t="s">
        <v>278</v>
      </c>
      <c r="B187" s="4" t="str">
        <f t="shared" si="0"/>
        <v>27-1-5</v>
      </c>
      <c r="C187" t="s">
        <v>272</v>
      </c>
      <c r="D187" s="5" t="str">
        <f t="shared" si="42"/>
        <v>27-1</v>
      </c>
      <c r="E187" t="s">
        <v>273</v>
      </c>
      <c r="F187">
        <v>27</v>
      </c>
      <c r="G187">
        <v>13925</v>
      </c>
      <c r="H187">
        <v>11179</v>
      </c>
      <c r="AC187">
        <f t="shared" si="33"/>
        <v>25104</v>
      </c>
      <c r="AD187">
        <f t="shared" si="34"/>
        <v>0</v>
      </c>
      <c r="AE187">
        <f t="shared" si="35"/>
        <v>0</v>
      </c>
      <c r="AF187">
        <f t="shared" si="36"/>
        <v>0</v>
      </c>
      <c r="AG187">
        <f t="shared" si="37"/>
        <v>0</v>
      </c>
      <c r="AH187">
        <f t="shared" si="38"/>
        <v>0</v>
      </c>
      <c r="AI187">
        <f t="shared" si="8"/>
        <v>0</v>
      </c>
      <c r="AJ187">
        <f t="shared" si="9"/>
        <v>0</v>
      </c>
      <c r="AM187">
        <f t="shared" si="43"/>
        <v>25104</v>
      </c>
      <c r="AN187" t="s">
        <v>274</v>
      </c>
      <c r="AO187">
        <v>0</v>
      </c>
    </row>
    <row r="188" spans="1:41" x14ac:dyDescent="0.2">
      <c r="A188" s="10" t="s">
        <v>279</v>
      </c>
      <c r="B188" s="4" t="str">
        <f t="shared" si="0"/>
        <v>27-1-6</v>
      </c>
      <c r="C188" t="s">
        <v>272</v>
      </c>
      <c r="D188" s="5" t="str">
        <f t="shared" si="42"/>
        <v>27-1</v>
      </c>
      <c r="E188" t="s">
        <v>273</v>
      </c>
      <c r="F188">
        <v>27</v>
      </c>
      <c r="G188">
        <v>10283</v>
      </c>
      <c r="H188">
        <v>11475</v>
      </c>
      <c r="I188">
        <v>386</v>
      </c>
      <c r="J188">
        <v>488</v>
      </c>
      <c r="K188">
        <v>751</v>
      </c>
      <c r="L188">
        <v>811</v>
      </c>
      <c r="O188">
        <v>114</v>
      </c>
      <c r="P188">
        <v>91</v>
      </c>
      <c r="S188">
        <v>250</v>
      </c>
      <c r="T188">
        <v>270</v>
      </c>
      <c r="U188">
        <v>80</v>
      </c>
      <c r="V188">
        <v>83</v>
      </c>
      <c r="AA188">
        <v>46</v>
      </c>
      <c r="AB188">
        <v>59</v>
      </c>
      <c r="AC188">
        <f t="shared" si="33"/>
        <v>21758</v>
      </c>
      <c r="AD188">
        <f t="shared" si="34"/>
        <v>3324</v>
      </c>
      <c r="AE188">
        <f t="shared" si="35"/>
        <v>3324</v>
      </c>
      <c r="AF188">
        <f t="shared" si="36"/>
        <v>1562</v>
      </c>
      <c r="AG188">
        <f t="shared" si="37"/>
        <v>0.15277139442963508</v>
      </c>
      <c r="AH188">
        <f t="shared" si="38"/>
        <v>7.1789686552072796E-2</v>
      </c>
      <c r="AI188">
        <f t="shared" si="8"/>
        <v>6.2275735587273742E-2</v>
      </c>
      <c r="AJ188">
        <f t="shared" si="9"/>
        <v>0.13252531696036998</v>
      </c>
      <c r="AM188">
        <f t="shared" si="43"/>
        <v>25082</v>
      </c>
      <c r="AN188" t="s">
        <v>274</v>
      </c>
      <c r="AO188">
        <v>0</v>
      </c>
    </row>
    <row r="189" spans="1:41" x14ac:dyDescent="0.2">
      <c r="A189" s="10" t="s">
        <v>280</v>
      </c>
      <c r="B189" s="4" t="str">
        <f t="shared" si="0"/>
        <v>27-1-7</v>
      </c>
      <c r="C189" t="s">
        <v>272</v>
      </c>
      <c r="D189" s="5" t="str">
        <f t="shared" si="42"/>
        <v>27-1</v>
      </c>
      <c r="E189" t="s">
        <v>273</v>
      </c>
      <c r="F189">
        <v>27</v>
      </c>
      <c r="G189">
        <f>37625+212</f>
        <v>37837</v>
      </c>
      <c r="H189">
        <f>35649+180</f>
        <v>35829</v>
      </c>
      <c r="I189">
        <f>460</f>
        <v>460</v>
      </c>
      <c r="J189">
        <f>533</f>
        <v>533</v>
      </c>
      <c r="K189">
        <v>902</v>
      </c>
      <c r="L189">
        <v>764</v>
      </c>
      <c r="O189">
        <f>1994+4043+979+55</f>
        <v>7071</v>
      </c>
      <c r="P189">
        <f>2062+4015+1019+79</f>
        <v>7175</v>
      </c>
      <c r="Q189">
        <v>3962</v>
      </c>
      <c r="R189">
        <v>3906</v>
      </c>
      <c r="S189">
        <v>27</v>
      </c>
      <c r="T189">
        <v>38</v>
      </c>
      <c r="U189">
        <v>195</v>
      </c>
      <c r="V189">
        <v>149</v>
      </c>
      <c r="W189">
        <v>1293</v>
      </c>
      <c r="X189">
        <v>1423</v>
      </c>
      <c r="AA189">
        <v>530</v>
      </c>
      <c r="AB189">
        <v>1513</v>
      </c>
      <c r="AC189" s="6">
        <f t="shared" si="33"/>
        <v>73666</v>
      </c>
      <c r="AD189" s="6">
        <f t="shared" si="34"/>
        <v>20030</v>
      </c>
      <c r="AE189" s="6">
        <f t="shared" si="35"/>
        <v>27898</v>
      </c>
      <c r="AF189" s="6">
        <f t="shared" si="36"/>
        <v>1666</v>
      </c>
      <c r="AG189" s="6">
        <f t="shared" si="37"/>
        <v>0.27190291314853526</v>
      </c>
      <c r="AH189" s="6">
        <f t="shared" si="38"/>
        <v>2.2615589281350962E-2</v>
      </c>
      <c r="AI189">
        <f t="shared" si="8"/>
        <v>1.6403450041353237E-2</v>
      </c>
      <c r="AJ189">
        <f t="shared" si="9"/>
        <v>0.19721554881650979</v>
      </c>
      <c r="AM189">
        <f t="shared" si="43"/>
        <v>101564</v>
      </c>
      <c r="AN189" t="s">
        <v>274</v>
      </c>
      <c r="AO189" s="6">
        <v>1</v>
      </c>
    </row>
    <row r="190" spans="1:41" x14ac:dyDescent="0.2">
      <c r="A190" s="10" t="s">
        <v>281</v>
      </c>
      <c r="B190" s="4" t="str">
        <f t="shared" si="0"/>
        <v>27-1-8</v>
      </c>
      <c r="C190" t="s">
        <v>272</v>
      </c>
      <c r="D190" s="5" t="str">
        <f t="shared" si="42"/>
        <v>27-1</v>
      </c>
      <c r="E190" t="s">
        <v>273</v>
      </c>
      <c r="F190">
        <v>27</v>
      </c>
      <c r="G190">
        <v>12610</v>
      </c>
      <c r="H190">
        <v>12377</v>
      </c>
      <c r="AA190">
        <v>204</v>
      </c>
      <c r="AB190">
        <v>297</v>
      </c>
      <c r="AC190">
        <f t="shared" si="33"/>
        <v>24987</v>
      </c>
      <c r="AD190">
        <f t="shared" si="34"/>
        <v>0</v>
      </c>
      <c r="AE190">
        <f t="shared" si="35"/>
        <v>0</v>
      </c>
      <c r="AF190">
        <f t="shared" si="36"/>
        <v>0</v>
      </c>
      <c r="AG190">
        <f t="shared" si="37"/>
        <v>0</v>
      </c>
      <c r="AH190">
        <f t="shared" si="38"/>
        <v>0</v>
      </c>
      <c r="AI190">
        <f t="shared" si="8"/>
        <v>0</v>
      </c>
      <c r="AJ190">
        <f t="shared" si="9"/>
        <v>0</v>
      </c>
      <c r="AM190">
        <f t="shared" si="43"/>
        <v>24987</v>
      </c>
      <c r="AN190" t="s">
        <v>274</v>
      </c>
      <c r="AO190">
        <v>0</v>
      </c>
    </row>
    <row r="191" spans="1:41" x14ac:dyDescent="0.2">
      <c r="A191" s="10" t="s">
        <v>282</v>
      </c>
      <c r="B191" s="4" t="str">
        <f t="shared" si="0"/>
        <v>27-1-9</v>
      </c>
      <c r="C191" t="s">
        <v>272</v>
      </c>
      <c r="D191" s="5" t="str">
        <f t="shared" si="42"/>
        <v>27-1</v>
      </c>
      <c r="E191" t="s">
        <v>273</v>
      </c>
      <c r="F191">
        <v>27</v>
      </c>
      <c r="G191">
        <v>22932</v>
      </c>
      <c r="H191">
        <v>22813</v>
      </c>
      <c r="I191">
        <v>276</v>
      </c>
      <c r="J191">
        <v>312</v>
      </c>
      <c r="AA191">
        <v>124</v>
      </c>
      <c r="AB191">
        <v>272</v>
      </c>
      <c r="AC191">
        <f t="shared" si="33"/>
        <v>45745</v>
      </c>
      <c r="AD191">
        <f t="shared" si="34"/>
        <v>588</v>
      </c>
      <c r="AE191">
        <f t="shared" si="35"/>
        <v>588</v>
      </c>
      <c r="AF191">
        <f t="shared" si="36"/>
        <v>0</v>
      </c>
      <c r="AG191">
        <f t="shared" si="37"/>
        <v>1.2853863810252487E-2</v>
      </c>
      <c r="AH191">
        <f t="shared" si="38"/>
        <v>0</v>
      </c>
      <c r="AI191">
        <f t="shared" si="8"/>
        <v>0</v>
      </c>
      <c r="AJ191">
        <f t="shared" si="9"/>
        <v>1.2690738782293398E-2</v>
      </c>
      <c r="AM191">
        <f t="shared" si="43"/>
        <v>46333</v>
      </c>
      <c r="AN191" t="s">
        <v>274</v>
      </c>
      <c r="AO191">
        <v>0</v>
      </c>
    </row>
    <row r="192" spans="1:41" x14ac:dyDescent="0.2">
      <c r="A192" s="10" t="s">
        <v>283</v>
      </c>
      <c r="B192" s="4" t="str">
        <f t="shared" si="0"/>
        <v>27-1-10</v>
      </c>
      <c r="C192" t="s">
        <v>272</v>
      </c>
      <c r="D192" s="5" t="str">
        <f t="shared" si="42"/>
        <v>27-1</v>
      </c>
      <c r="E192" t="s">
        <v>273</v>
      </c>
      <c r="F192">
        <v>27</v>
      </c>
      <c r="G192">
        <v>4684</v>
      </c>
      <c r="H192">
        <v>5303</v>
      </c>
      <c r="I192">
        <v>454</v>
      </c>
      <c r="J192">
        <v>546</v>
      </c>
      <c r="K192">
        <v>201</v>
      </c>
      <c r="L192">
        <v>214</v>
      </c>
      <c r="O192">
        <v>39</v>
      </c>
      <c r="P192">
        <v>48</v>
      </c>
      <c r="Q192">
        <v>7</v>
      </c>
      <c r="R192">
        <v>6</v>
      </c>
      <c r="AA192">
        <v>265</v>
      </c>
      <c r="AB192">
        <v>802</v>
      </c>
      <c r="AC192">
        <f t="shared" si="33"/>
        <v>9987</v>
      </c>
      <c r="AD192">
        <f t="shared" si="34"/>
        <v>1502</v>
      </c>
      <c r="AE192">
        <f t="shared" si="35"/>
        <v>1515</v>
      </c>
      <c r="AF192">
        <f t="shared" si="36"/>
        <v>415</v>
      </c>
      <c r="AG192">
        <f t="shared" si="37"/>
        <v>0.15039551416841895</v>
      </c>
      <c r="AH192">
        <f t="shared" si="38"/>
        <v>4.1554020226294182E-2</v>
      </c>
      <c r="AI192">
        <f t="shared" si="8"/>
        <v>3.6080681620587723E-2</v>
      </c>
      <c r="AJ192">
        <f t="shared" si="9"/>
        <v>0.13058598504607893</v>
      </c>
      <c r="AM192">
        <f t="shared" si="43"/>
        <v>11502</v>
      </c>
      <c r="AN192" t="s">
        <v>274</v>
      </c>
      <c r="AO192">
        <v>0</v>
      </c>
    </row>
    <row r="193" spans="1:41" x14ac:dyDescent="0.2">
      <c r="A193" s="10" t="s">
        <v>284</v>
      </c>
      <c r="B193" s="4" t="str">
        <f t="shared" si="0"/>
        <v>27-1-11</v>
      </c>
      <c r="C193" t="s">
        <v>272</v>
      </c>
      <c r="D193" s="5" t="str">
        <f t="shared" si="42"/>
        <v>27-1</v>
      </c>
      <c r="E193" t="s">
        <v>273</v>
      </c>
      <c r="F193">
        <v>27</v>
      </c>
      <c r="G193">
        <v>32356</v>
      </c>
      <c r="H193">
        <v>32450</v>
      </c>
      <c r="I193">
        <v>121</v>
      </c>
      <c r="J193">
        <v>180</v>
      </c>
      <c r="K193">
        <v>1221</v>
      </c>
      <c r="L193">
        <v>1323</v>
      </c>
      <c r="O193">
        <v>179</v>
      </c>
      <c r="P193">
        <v>168</v>
      </c>
      <c r="Q193">
        <v>261</v>
      </c>
      <c r="R193">
        <v>281</v>
      </c>
      <c r="S193">
        <v>156</v>
      </c>
      <c r="T193">
        <v>177</v>
      </c>
      <c r="AA193">
        <v>1670</v>
      </c>
      <c r="AB193">
        <v>1887</v>
      </c>
      <c r="AC193">
        <f t="shared" si="33"/>
        <v>64806</v>
      </c>
      <c r="AD193">
        <f t="shared" si="34"/>
        <v>3525</v>
      </c>
      <c r="AE193">
        <f t="shared" si="35"/>
        <v>4067</v>
      </c>
      <c r="AF193">
        <f t="shared" si="36"/>
        <v>2544</v>
      </c>
      <c r="AG193">
        <f t="shared" si="37"/>
        <v>5.4393111748912135E-2</v>
      </c>
      <c r="AH193">
        <f t="shared" si="38"/>
        <v>3.9255624479214886E-2</v>
      </c>
      <c r="AI193">
        <f t="shared" si="8"/>
        <v>3.6937551725639943E-2</v>
      </c>
      <c r="AJ193">
        <f t="shared" si="9"/>
        <v>5.1181159525503464E-2</v>
      </c>
      <c r="AM193">
        <f t="shared" si="43"/>
        <v>68873</v>
      </c>
      <c r="AN193" t="s">
        <v>274</v>
      </c>
      <c r="AO193">
        <v>0</v>
      </c>
    </row>
    <row r="194" spans="1:41" x14ac:dyDescent="0.2">
      <c r="A194" s="10" t="s">
        <v>285</v>
      </c>
      <c r="B194" s="4" t="str">
        <f t="shared" si="0"/>
        <v>27-1-12</v>
      </c>
      <c r="C194" t="s">
        <v>272</v>
      </c>
      <c r="D194" s="5" t="str">
        <f t="shared" si="42"/>
        <v>27-1</v>
      </c>
      <c r="E194" t="s">
        <v>273</v>
      </c>
      <c r="F194">
        <v>27</v>
      </c>
      <c r="G194">
        <v>7242</v>
      </c>
      <c r="H194">
        <v>7599</v>
      </c>
      <c r="I194">
        <v>23</v>
      </c>
      <c r="J194">
        <v>22</v>
      </c>
      <c r="AA194">
        <v>107</v>
      </c>
      <c r="AB194">
        <v>126</v>
      </c>
      <c r="AC194">
        <f t="shared" si="33"/>
        <v>14841</v>
      </c>
      <c r="AD194">
        <f t="shared" si="34"/>
        <v>45</v>
      </c>
      <c r="AE194">
        <f t="shared" si="35"/>
        <v>45</v>
      </c>
      <c r="AF194">
        <f t="shared" si="36"/>
        <v>0</v>
      </c>
      <c r="AG194">
        <f t="shared" si="37"/>
        <v>3.0321406913280777E-3</v>
      </c>
      <c r="AH194">
        <f t="shared" si="38"/>
        <v>0</v>
      </c>
      <c r="AI194">
        <f t="shared" si="8"/>
        <v>0</v>
      </c>
      <c r="AJ194">
        <f t="shared" si="9"/>
        <v>3.0229746070133011E-3</v>
      </c>
      <c r="AM194">
        <f t="shared" si="43"/>
        <v>14886</v>
      </c>
      <c r="AN194" t="s">
        <v>274</v>
      </c>
      <c r="AO194">
        <v>0</v>
      </c>
    </row>
    <row r="195" spans="1:41" x14ac:dyDescent="0.2">
      <c r="A195" s="10" t="s">
        <v>286</v>
      </c>
      <c r="B195" s="4" t="str">
        <f t="shared" si="0"/>
        <v>27-1-13</v>
      </c>
      <c r="C195" t="s">
        <v>272</v>
      </c>
      <c r="D195" s="5" t="str">
        <f t="shared" si="42"/>
        <v>27-1</v>
      </c>
      <c r="E195" t="s">
        <v>273</v>
      </c>
      <c r="F195">
        <v>27</v>
      </c>
      <c r="G195">
        <v>3829</v>
      </c>
      <c r="H195">
        <v>2607</v>
      </c>
      <c r="AA195">
        <v>19</v>
      </c>
      <c r="AB195">
        <v>31</v>
      </c>
      <c r="AC195">
        <f t="shared" si="33"/>
        <v>6436</v>
      </c>
      <c r="AD195">
        <f t="shared" si="34"/>
        <v>0</v>
      </c>
      <c r="AE195">
        <f t="shared" si="35"/>
        <v>0</v>
      </c>
      <c r="AF195">
        <f t="shared" si="36"/>
        <v>0</v>
      </c>
      <c r="AG195">
        <f t="shared" si="37"/>
        <v>0</v>
      </c>
      <c r="AH195">
        <f t="shared" si="38"/>
        <v>0</v>
      </c>
      <c r="AI195">
        <f t="shared" si="8"/>
        <v>0</v>
      </c>
      <c r="AJ195">
        <f t="shared" si="9"/>
        <v>0</v>
      </c>
      <c r="AM195">
        <f t="shared" si="43"/>
        <v>6436</v>
      </c>
      <c r="AN195" t="s">
        <v>274</v>
      </c>
      <c r="AO195">
        <v>0</v>
      </c>
    </row>
    <row r="196" spans="1:41" x14ac:dyDescent="0.2">
      <c r="A196" s="10" t="s">
        <v>287</v>
      </c>
      <c r="B196" s="4" t="str">
        <f t="shared" si="0"/>
        <v>27-1-14</v>
      </c>
      <c r="C196" t="s">
        <v>272</v>
      </c>
      <c r="D196" s="5" t="str">
        <f t="shared" si="42"/>
        <v>27-1</v>
      </c>
      <c r="E196" t="s">
        <v>273</v>
      </c>
      <c r="F196">
        <v>27</v>
      </c>
      <c r="G196">
        <v>2906</v>
      </c>
      <c r="H196">
        <v>2214</v>
      </c>
      <c r="AC196">
        <f t="shared" si="33"/>
        <v>5120</v>
      </c>
      <c r="AD196">
        <f t="shared" si="34"/>
        <v>0</v>
      </c>
      <c r="AE196">
        <f t="shared" si="35"/>
        <v>0</v>
      </c>
      <c r="AF196">
        <f t="shared" si="36"/>
        <v>0</v>
      </c>
      <c r="AG196">
        <f t="shared" si="37"/>
        <v>0</v>
      </c>
      <c r="AH196">
        <f t="shared" si="38"/>
        <v>0</v>
      </c>
      <c r="AI196">
        <f t="shared" si="8"/>
        <v>0</v>
      </c>
      <c r="AJ196">
        <f t="shared" si="9"/>
        <v>0</v>
      </c>
      <c r="AM196">
        <f t="shared" si="43"/>
        <v>5120</v>
      </c>
      <c r="AN196" t="s">
        <v>274</v>
      </c>
      <c r="AO196">
        <v>0</v>
      </c>
    </row>
    <row r="197" spans="1:41" x14ac:dyDescent="0.2">
      <c r="A197" s="10" t="s">
        <v>288</v>
      </c>
      <c r="B197" s="4" t="str">
        <f t="shared" si="0"/>
        <v>27-3-1</v>
      </c>
      <c r="C197" t="s">
        <v>289</v>
      </c>
      <c r="D197" s="5" t="str">
        <f t="shared" ref="D197:D201" si="44">F197&amp;"-"&amp;3</f>
        <v>27-3</v>
      </c>
      <c r="E197" t="s">
        <v>273</v>
      </c>
      <c r="F197">
        <v>27</v>
      </c>
      <c r="G197">
        <v>6394</v>
      </c>
      <c r="H197">
        <v>7744</v>
      </c>
      <c r="K197">
        <v>1042</v>
      </c>
      <c r="L197">
        <v>1328</v>
      </c>
      <c r="O197">
        <v>84</v>
      </c>
      <c r="P197">
        <v>109</v>
      </c>
      <c r="AC197">
        <f t="shared" si="33"/>
        <v>14138</v>
      </c>
      <c r="AD197">
        <f t="shared" si="34"/>
        <v>2563</v>
      </c>
      <c r="AE197">
        <f t="shared" si="35"/>
        <v>2563</v>
      </c>
      <c r="AF197">
        <f t="shared" si="36"/>
        <v>2370</v>
      </c>
      <c r="AG197">
        <f t="shared" si="37"/>
        <v>0.18128448153911444</v>
      </c>
      <c r="AH197">
        <f t="shared" si="38"/>
        <v>0.16763332861790919</v>
      </c>
      <c r="AI197">
        <f t="shared" si="8"/>
        <v>0.14190767019938927</v>
      </c>
      <c r="AJ197">
        <f t="shared" si="9"/>
        <v>0.15346386443925514</v>
      </c>
      <c r="AM197">
        <f t="shared" si="43"/>
        <v>16701</v>
      </c>
      <c r="AN197" t="s">
        <v>274</v>
      </c>
      <c r="AO197">
        <v>0</v>
      </c>
    </row>
    <row r="198" spans="1:41" x14ac:dyDescent="0.2">
      <c r="A198" s="10" t="s">
        <v>290</v>
      </c>
      <c r="B198" s="4" t="str">
        <f t="shared" si="0"/>
        <v>27-3-2</v>
      </c>
      <c r="C198" t="s">
        <v>289</v>
      </c>
      <c r="D198" s="5" t="str">
        <f t="shared" si="44"/>
        <v>27-3</v>
      </c>
      <c r="E198" t="s">
        <v>273</v>
      </c>
      <c r="F198">
        <v>27</v>
      </c>
      <c r="G198">
        <v>17981</v>
      </c>
      <c r="H198">
        <v>19991</v>
      </c>
      <c r="K198">
        <v>421</v>
      </c>
      <c r="L198">
        <v>528</v>
      </c>
      <c r="O198">
        <v>164</v>
      </c>
      <c r="P198">
        <v>170</v>
      </c>
      <c r="S198">
        <v>153</v>
      </c>
      <c r="T198">
        <v>182</v>
      </c>
      <c r="AC198">
        <f t="shared" si="33"/>
        <v>37972</v>
      </c>
      <c r="AD198">
        <f t="shared" si="34"/>
        <v>1618</v>
      </c>
      <c r="AE198">
        <f t="shared" si="35"/>
        <v>1618</v>
      </c>
      <c r="AF198">
        <f t="shared" si="36"/>
        <v>949</v>
      </c>
      <c r="AG198">
        <f t="shared" si="37"/>
        <v>4.2610344464342149E-2</v>
      </c>
      <c r="AH198">
        <f t="shared" si="38"/>
        <v>2.499209944169388E-2</v>
      </c>
      <c r="AI198">
        <f t="shared" si="8"/>
        <v>2.397069967163425E-2</v>
      </c>
      <c r="AJ198">
        <f t="shared" si="9"/>
        <v>4.0868906289467037E-2</v>
      </c>
      <c r="AM198">
        <f t="shared" si="43"/>
        <v>39590</v>
      </c>
      <c r="AN198" t="s">
        <v>274</v>
      </c>
      <c r="AO198">
        <v>0</v>
      </c>
    </row>
    <row r="199" spans="1:41" x14ac:dyDescent="0.2">
      <c r="A199" s="10" t="s">
        <v>291</v>
      </c>
      <c r="B199" s="4" t="str">
        <f t="shared" si="0"/>
        <v>27-3-3</v>
      </c>
      <c r="C199" t="s">
        <v>289</v>
      </c>
      <c r="D199" s="5" t="str">
        <f t="shared" si="44"/>
        <v>27-3</v>
      </c>
      <c r="E199" t="s">
        <v>273</v>
      </c>
      <c r="F199">
        <v>27</v>
      </c>
      <c r="G199">
        <v>17110</v>
      </c>
      <c r="H199">
        <v>19443</v>
      </c>
      <c r="K199">
        <v>4312</v>
      </c>
      <c r="L199">
        <v>4783</v>
      </c>
      <c r="O199">
        <v>1447</v>
      </c>
      <c r="P199">
        <v>1614</v>
      </c>
      <c r="Q199">
        <v>98</v>
      </c>
      <c r="R199">
        <v>95</v>
      </c>
      <c r="S199">
        <v>1430</v>
      </c>
      <c r="T199">
        <v>1430</v>
      </c>
      <c r="AA199">
        <v>417</v>
      </c>
      <c r="AB199">
        <v>564</v>
      </c>
      <c r="AC199">
        <f t="shared" si="33"/>
        <v>36553</v>
      </c>
      <c r="AD199">
        <f t="shared" si="34"/>
        <v>15016</v>
      </c>
      <c r="AE199">
        <f t="shared" si="35"/>
        <v>15209</v>
      </c>
      <c r="AF199">
        <f t="shared" si="36"/>
        <v>9095</v>
      </c>
      <c r="AG199">
        <f t="shared" si="37"/>
        <v>0.41080075506798347</v>
      </c>
      <c r="AH199">
        <f t="shared" si="38"/>
        <v>0.24881678658386452</v>
      </c>
      <c r="AI199">
        <f t="shared" si="8"/>
        <v>0.17570804837525597</v>
      </c>
      <c r="AJ199">
        <f t="shared" si="9"/>
        <v>0.29009698234225878</v>
      </c>
      <c r="AM199">
        <f t="shared" si="43"/>
        <v>51762</v>
      </c>
      <c r="AN199" t="s">
        <v>274</v>
      </c>
      <c r="AO199" s="6">
        <v>1</v>
      </c>
    </row>
    <row r="200" spans="1:41" x14ac:dyDescent="0.2">
      <c r="A200" s="10" t="s">
        <v>292</v>
      </c>
      <c r="B200" s="4" t="str">
        <f t="shared" si="0"/>
        <v>27-3-4</v>
      </c>
      <c r="C200" t="s">
        <v>289</v>
      </c>
      <c r="D200" s="5" t="str">
        <f t="shared" si="44"/>
        <v>27-3</v>
      </c>
      <c r="E200" t="s">
        <v>273</v>
      </c>
      <c r="F200">
        <v>27</v>
      </c>
      <c r="G200">
        <v>8533</v>
      </c>
      <c r="H200">
        <v>9408</v>
      </c>
      <c r="K200">
        <v>4</v>
      </c>
      <c r="L200">
        <v>8</v>
      </c>
      <c r="AC200">
        <f t="shared" si="33"/>
        <v>17941</v>
      </c>
      <c r="AD200">
        <f t="shared" si="34"/>
        <v>12</v>
      </c>
      <c r="AE200">
        <f t="shared" si="35"/>
        <v>12</v>
      </c>
      <c r="AF200">
        <f t="shared" si="36"/>
        <v>12</v>
      </c>
      <c r="AG200">
        <f t="shared" si="37"/>
        <v>6.6885903795775039E-4</v>
      </c>
      <c r="AH200">
        <f t="shared" si="38"/>
        <v>6.6885903795775039E-4</v>
      </c>
      <c r="AI200">
        <f t="shared" si="8"/>
        <v>6.6841196457416592E-4</v>
      </c>
      <c r="AJ200">
        <f t="shared" si="9"/>
        <v>6.6841196457416592E-4</v>
      </c>
      <c r="AM200">
        <f t="shared" si="43"/>
        <v>17953</v>
      </c>
      <c r="AN200" t="s">
        <v>274</v>
      </c>
      <c r="AO200">
        <v>0</v>
      </c>
    </row>
    <row r="201" spans="1:41" x14ac:dyDescent="0.2">
      <c r="A201" s="10" t="s">
        <v>293</v>
      </c>
      <c r="B201" s="4" t="str">
        <f t="shared" si="0"/>
        <v>27-3-5</v>
      </c>
      <c r="C201" t="s">
        <v>289</v>
      </c>
      <c r="D201" s="5" t="str">
        <f t="shared" si="44"/>
        <v>27-3</v>
      </c>
      <c r="E201" t="s">
        <v>273</v>
      </c>
      <c r="F201">
        <v>27</v>
      </c>
      <c r="G201">
        <v>3378</v>
      </c>
      <c r="H201">
        <v>3994</v>
      </c>
      <c r="K201">
        <v>3661</v>
      </c>
      <c r="L201">
        <v>4882</v>
      </c>
      <c r="O201">
        <v>167</v>
      </c>
      <c r="P201">
        <v>206</v>
      </c>
      <c r="S201">
        <v>107</v>
      </c>
      <c r="T201">
        <v>129</v>
      </c>
      <c r="AC201">
        <f t="shared" si="33"/>
        <v>7372</v>
      </c>
      <c r="AD201">
        <f t="shared" si="34"/>
        <v>9152</v>
      </c>
      <c r="AE201">
        <f t="shared" si="35"/>
        <v>9152</v>
      </c>
      <c r="AF201">
        <f t="shared" si="36"/>
        <v>8543</v>
      </c>
      <c r="AG201">
        <f t="shared" si="37"/>
        <v>1.2414541508410202</v>
      </c>
      <c r="AH201">
        <f t="shared" si="38"/>
        <v>1.1588442756375474</v>
      </c>
      <c r="AI201">
        <f t="shared" si="8"/>
        <v>0.51700556765916239</v>
      </c>
      <c r="AJ201">
        <f t="shared" si="9"/>
        <v>0.55386105059307678</v>
      </c>
      <c r="AM201">
        <f t="shared" si="43"/>
        <v>16524</v>
      </c>
      <c r="AN201" t="s">
        <v>274</v>
      </c>
      <c r="AO201">
        <v>0</v>
      </c>
    </row>
    <row r="202" spans="1:41" x14ac:dyDescent="0.2">
      <c r="A202" s="10" t="s">
        <v>294</v>
      </c>
      <c r="B202" s="4" t="str">
        <f t="shared" si="0"/>
        <v>27-2-1</v>
      </c>
      <c r="C202" t="s">
        <v>295</v>
      </c>
      <c r="D202" s="5" t="str">
        <f t="shared" ref="D202:D206" si="45">F202&amp;"-"&amp;2</f>
        <v>27-2</v>
      </c>
      <c r="E202" t="s">
        <v>273</v>
      </c>
      <c r="F202">
        <v>27</v>
      </c>
      <c r="G202">
        <v>10171</v>
      </c>
      <c r="H202">
        <v>10076</v>
      </c>
      <c r="K202">
        <v>605</v>
      </c>
      <c r="L202">
        <v>652</v>
      </c>
      <c r="AC202">
        <f t="shared" si="33"/>
        <v>20247</v>
      </c>
      <c r="AD202">
        <f t="shared" si="34"/>
        <v>1257</v>
      </c>
      <c r="AE202">
        <f t="shared" si="35"/>
        <v>1257</v>
      </c>
      <c r="AF202">
        <f t="shared" si="36"/>
        <v>1257</v>
      </c>
      <c r="AG202">
        <f t="shared" si="37"/>
        <v>6.2083271595791967E-2</v>
      </c>
      <c r="AH202">
        <f t="shared" si="38"/>
        <v>6.2083271595791967E-2</v>
      </c>
      <c r="AI202">
        <f t="shared" si="8"/>
        <v>5.8454241071428568E-2</v>
      </c>
      <c r="AJ202">
        <f t="shared" si="9"/>
        <v>5.8454241071428568E-2</v>
      </c>
      <c r="AM202">
        <f t="shared" si="43"/>
        <v>21504</v>
      </c>
      <c r="AN202" t="s">
        <v>274</v>
      </c>
      <c r="AO202">
        <v>0</v>
      </c>
    </row>
    <row r="203" spans="1:41" x14ac:dyDescent="0.2">
      <c r="A203" s="10" t="s">
        <v>296</v>
      </c>
      <c r="B203" s="4" t="str">
        <f t="shared" si="0"/>
        <v>27-2-2</v>
      </c>
      <c r="C203" t="s">
        <v>295</v>
      </c>
      <c r="D203" s="5" t="str">
        <f t="shared" si="45"/>
        <v>27-2</v>
      </c>
      <c r="E203" t="s">
        <v>273</v>
      </c>
      <c r="F203">
        <v>27</v>
      </c>
      <c r="G203">
        <v>1.9870000000000001</v>
      </c>
      <c r="H203">
        <v>1.675</v>
      </c>
      <c r="AC203">
        <f t="shared" si="33"/>
        <v>3.6619999999999999</v>
      </c>
      <c r="AD203">
        <f t="shared" si="34"/>
        <v>0</v>
      </c>
      <c r="AE203">
        <f t="shared" si="35"/>
        <v>0</v>
      </c>
      <c r="AF203">
        <f t="shared" si="36"/>
        <v>0</v>
      </c>
      <c r="AG203">
        <f t="shared" si="37"/>
        <v>0</v>
      </c>
      <c r="AH203">
        <f t="shared" si="38"/>
        <v>0</v>
      </c>
      <c r="AI203">
        <f t="shared" si="8"/>
        <v>0</v>
      </c>
      <c r="AJ203">
        <f t="shared" si="9"/>
        <v>0</v>
      </c>
      <c r="AM203">
        <f t="shared" si="43"/>
        <v>3.6619999999999999</v>
      </c>
      <c r="AN203" s="7" t="s">
        <v>297</v>
      </c>
      <c r="AO203">
        <v>0</v>
      </c>
    </row>
    <row r="204" spans="1:41" x14ac:dyDescent="0.2">
      <c r="A204" s="10" t="s">
        <v>298</v>
      </c>
      <c r="B204" s="4" t="str">
        <f t="shared" si="0"/>
        <v>27-2-3</v>
      </c>
      <c r="C204" t="s">
        <v>295</v>
      </c>
      <c r="D204" s="5" t="str">
        <f t="shared" si="45"/>
        <v>27-2</v>
      </c>
      <c r="E204" t="s">
        <v>273</v>
      </c>
      <c r="F204">
        <v>27</v>
      </c>
      <c r="G204">
        <v>10549</v>
      </c>
      <c r="H204">
        <v>10993</v>
      </c>
      <c r="K204">
        <v>289</v>
      </c>
      <c r="L204">
        <v>340</v>
      </c>
      <c r="AC204">
        <f t="shared" si="33"/>
        <v>21542</v>
      </c>
      <c r="AD204">
        <f t="shared" si="34"/>
        <v>629</v>
      </c>
      <c r="AE204">
        <f t="shared" si="35"/>
        <v>629</v>
      </c>
      <c r="AF204">
        <f t="shared" si="36"/>
        <v>629</v>
      </c>
      <c r="AG204">
        <f t="shared" si="37"/>
        <v>2.9198774487048558E-2</v>
      </c>
      <c r="AH204">
        <f t="shared" si="38"/>
        <v>2.9198774487048558E-2</v>
      </c>
      <c r="AI204">
        <f t="shared" si="8"/>
        <v>2.8370393757611294E-2</v>
      </c>
      <c r="AJ204">
        <f t="shared" si="9"/>
        <v>2.8370393757611294E-2</v>
      </c>
      <c r="AM204">
        <f t="shared" si="43"/>
        <v>22171</v>
      </c>
      <c r="AN204" t="s">
        <v>274</v>
      </c>
      <c r="AO204">
        <v>0</v>
      </c>
    </row>
    <row r="205" spans="1:41" x14ac:dyDescent="0.2">
      <c r="A205" s="10" t="s">
        <v>299</v>
      </c>
      <c r="B205" s="4" t="str">
        <f t="shared" si="0"/>
        <v>27-2-4</v>
      </c>
      <c r="C205" t="s">
        <v>295</v>
      </c>
      <c r="D205" s="5" t="str">
        <f t="shared" si="45"/>
        <v>27-2</v>
      </c>
      <c r="E205" t="s">
        <v>273</v>
      </c>
      <c r="F205">
        <v>27</v>
      </c>
      <c r="G205">
        <v>8712</v>
      </c>
      <c r="H205">
        <v>9050</v>
      </c>
      <c r="K205">
        <v>24</v>
      </c>
      <c r="L205">
        <v>28</v>
      </c>
      <c r="AC205">
        <f t="shared" si="33"/>
        <v>17762</v>
      </c>
      <c r="AD205">
        <f t="shared" si="34"/>
        <v>52</v>
      </c>
      <c r="AE205">
        <f t="shared" si="35"/>
        <v>52</v>
      </c>
      <c r="AF205">
        <f t="shared" si="36"/>
        <v>52</v>
      </c>
      <c r="AG205">
        <f t="shared" si="37"/>
        <v>2.9275982434410538E-3</v>
      </c>
      <c r="AH205">
        <f t="shared" si="38"/>
        <v>2.9275982434410538E-3</v>
      </c>
      <c r="AI205">
        <f t="shared" si="8"/>
        <v>2.9190524306725047E-3</v>
      </c>
      <c r="AJ205">
        <f t="shared" si="9"/>
        <v>2.9190524306725047E-3</v>
      </c>
      <c r="AM205">
        <f t="shared" si="43"/>
        <v>17814</v>
      </c>
      <c r="AN205" t="s">
        <v>274</v>
      </c>
      <c r="AO205">
        <v>0</v>
      </c>
    </row>
    <row r="206" spans="1:41" x14ac:dyDescent="0.2">
      <c r="A206" s="10" t="s">
        <v>300</v>
      </c>
      <c r="B206" s="4" t="str">
        <f t="shared" si="0"/>
        <v>27-2-5</v>
      </c>
      <c r="C206" t="s">
        <v>295</v>
      </c>
      <c r="D206" s="5" t="str">
        <f t="shared" si="45"/>
        <v>27-2</v>
      </c>
      <c r="E206" t="s">
        <v>273</v>
      </c>
      <c r="F206">
        <v>27</v>
      </c>
      <c r="G206">
        <v>26539</v>
      </c>
      <c r="H206">
        <v>26321</v>
      </c>
      <c r="K206">
        <v>3118</v>
      </c>
      <c r="L206">
        <v>4515</v>
      </c>
      <c r="O206">
        <v>240</v>
      </c>
      <c r="P206">
        <v>218</v>
      </c>
      <c r="Q206">
        <v>154</v>
      </c>
      <c r="R206">
        <v>163</v>
      </c>
      <c r="S206">
        <v>327</v>
      </c>
      <c r="T206">
        <v>395</v>
      </c>
      <c r="W206">
        <v>486</v>
      </c>
      <c r="X206">
        <v>588</v>
      </c>
      <c r="AA206">
        <v>355</v>
      </c>
      <c r="AB206">
        <v>967</v>
      </c>
      <c r="AC206">
        <f t="shared" si="33"/>
        <v>52860</v>
      </c>
      <c r="AD206">
        <f t="shared" si="34"/>
        <v>9887</v>
      </c>
      <c r="AE206">
        <f t="shared" si="35"/>
        <v>10204</v>
      </c>
      <c r="AF206">
        <f t="shared" si="36"/>
        <v>7633</v>
      </c>
      <c r="AG206">
        <f t="shared" si="37"/>
        <v>0.18704124101399924</v>
      </c>
      <c r="AH206">
        <f t="shared" si="38"/>
        <v>0.14440030268634127</v>
      </c>
      <c r="AI206">
        <f t="shared" si="8"/>
        <v>0.12103577318279843</v>
      </c>
      <c r="AJ206">
        <f t="shared" si="9"/>
        <v>0.15677724216668781</v>
      </c>
      <c r="AM206">
        <f t="shared" si="43"/>
        <v>63064</v>
      </c>
      <c r="AN206" t="s">
        <v>274</v>
      </c>
      <c r="AO206" s="6">
        <v>1</v>
      </c>
    </row>
    <row r="207" spans="1:41" x14ac:dyDescent="0.2">
      <c r="A207" t="s">
        <v>301</v>
      </c>
      <c r="B207" s="4" t="str">
        <f>F207&amp;"-"&amp;7</f>
        <v>34-7</v>
      </c>
      <c r="C207" s="10" t="s">
        <v>302</v>
      </c>
      <c r="D207" s="5" t="s">
        <v>303</v>
      </c>
      <c r="E207" t="s">
        <v>304</v>
      </c>
      <c r="F207">
        <v>34</v>
      </c>
      <c r="G207">
        <v>78</v>
      </c>
      <c r="H207">
        <v>186</v>
      </c>
      <c r="I207">
        <v>2495</v>
      </c>
      <c r="J207">
        <v>3006</v>
      </c>
      <c r="K207">
        <v>196</v>
      </c>
      <c r="L207">
        <v>337</v>
      </c>
      <c r="N207">
        <v>3</v>
      </c>
      <c r="O207">
        <v>66</v>
      </c>
      <c r="P207">
        <v>67</v>
      </c>
      <c r="Q207">
        <v>30</v>
      </c>
      <c r="R207">
        <v>35</v>
      </c>
      <c r="S207">
        <v>5</v>
      </c>
      <c r="T207">
        <v>2</v>
      </c>
      <c r="U207">
        <v>9</v>
      </c>
      <c r="V207">
        <v>18</v>
      </c>
      <c r="AA207">
        <v>736</v>
      </c>
      <c r="AB207">
        <v>668</v>
      </c>
      <c r="AC207">
        <f t="shared" si="33"/>
        <v>264</v>
      </c>
      <c r="AD207">
        <f t="shared" si="34"/>
        <v>6204</v>
      </c>
      <c r="AE207">
        <f t="shared" si="35"/>
        <v>6269</v>
      </c>
      <c r="AF207">
        <f t="shared" si="36"/>
        <v>533</v>
      </c>
      <c r="AG207">
        <f t="shared" si="37"/>
        <v>23.5</v>
      </c>
      <c r="AH207">
        <f t="shared" si="38"/>
        <v>2.018939393939394</v>
      </c>
      <c r="AI207">
        <f t="shared" si="8"/>
        <v>6.7153836462139349E-2</v>
      </c>
      <c r="AJ207">
        <f t="shared" si="9"/>
        <v>0.78165553735668392</v>
      </c>
      <c r="AK207">
        <v>3615</v>
      </c>
      <c r="AL207">
        <v>4322</v>
      </c>
      <c r="AM207">
        <v>7937</v>
      </c>
      <c r="AN207" t="s">
        <v>43</v>
      </c>
      <c r="AO207">
        <v>0</v>
      </c>
    </row>
    <row r="208" spans="1:41" x14ac:dyDescent="0.2">
      <c r="A208" t="s">
        <v>305</v>
      </c>
      <c r="B208" s="4" t="str">
        <f>F208&amp;"-"&amp;5</f>
        <v>34-5</v>
      </c>
      <c r="C208" s="10" t="s">
        <v>302</v>
      </c>
      <c r="D208" s="5" t="s">
        <v>303</v>
      </c>
      <c r="E208" t="s">
        <v>304</v>
      </c>
      <c r="F208">
        <v>34</v>
      </c>
      <c r="G208">
        <v>1665</v>
      </c>
      <c r="H208">
        <v>1955</v>
      </c>
      <c r="I208">
        <v>604</v>
      </c>
      <c r="J208">
        <v>729</v>
      </c>
      <c r="O208">
        <v>49</v>
      </c>
      <c r="P208">
        <v>91</v>
      </c>
      <c r="AC208">
        <f t="shared" si="33"/>
        <v>3620</v>
      </c>
      <c r="AD208">
        <f t="shared" si="34"/>
        <v>1473</v>
      </c>
      <c r="AE208">
        <f t="shared" si="35"/>
        <v>1473</v>
      </c>
      <c r="AF208">
        <f t="shared" si="36"/>
        <v>0</v>
      </c>
      <c r="AG208">
        <f t="shared" si="37"/>
        <v>0.40690607734806628</v>
      </c>
      <c r="AH208">
        <f t="shared" si="38"/>
        <v>0</v>
      </c>
      <c r="AI208">
        <f t="shared" si="8"/>
        <v>0</v>
      </c>
      <c r="AJ208">
        <f t="shared" si="9"/>
        <v>0.28922049872373845</v>
      </c>
      <c r="AK208">
        <v>2318</v>
      </c>
      <c r="AL208">
        <v>2775</v>
      </c>
      <c r="AM208">
        <v>5093</v>
      </c>
      <c r="AN208" t="s">
        <v>43</v>
      </c>
      <c r="AO208">
        <v>0</v>
      </c>
    </row>
    <row r="209" spans="1:41" x14ac:dyDescent="0.2">
      <c r="A209" t="s">
        <v>306</v>
      </c>
      <c r="B209" s="4" t="str">
        <f>F209&amp;"-"&amp;3</f>
        <v>34-3</v>
      </c>
      <c r="C209" s="10" t="s">
        <v>302</v>
      </c>
      <c r="D209" s="5" t="s">
        <v>303</v>
      </c>
      <c r="E209" t="s">
        <v>304</v>
      </c>
      <c r="F209">
        <v>34</v>
      </c>
      <c r="G209">
        <v>7633</v>
      </c>
      <c r="H209">
        <v>8189</v>
      </c>
      <c r="I209">
        <v>1947</v>
      </c>
      <c r="J209">
        <v>2178</v>
      </c>
      <c r="K209">
        <v>2</v>
      </c>
      <c r="L209">
        <v>6</v>
      </c>
      <c r="N209">
        <v>3</v>
      </c>
      <c r="AC209">
        <f t="shared" si="33"/>
        <v>15822</v>
      </c>
      <c r="AD209">
        <f t="shared" si="34"/>
        <v>4136</v>
      </c>
      <c r="AE209">
        <f t="shared" si="35"/>
        <v>4136</v>
      </c>
      <c r="AF209">
        <f t="shared" si="36"/>
        <v>8</v>
      </c>
      <c r="AG209">
        <f t="shared" si="37"/>
        <v>0.26140816584502591</v>
      </c>
      <c r="AH209">
        <f t="shared" si="38"/>
        <v>5.0562507900391864E-4</v>
      </c>
      <c r="AI209">
        <f t="shared" si="8"/>
        <v>4.0084176771219561E-4</v>
      </c>
      <c r="AJ209">
        <f t="shared" si="9"/>
        <v>0.20723519390720513</v>
      </c>
      <c r="AK209">
        <v>9582</v>
      </c>
      <c r="AL209">
        <v>10376</v>
      </c>
      <c r="AM209">
        <v>19958</v>
      </c>
      <c r="AN209" t="s">
        <v>43</v>
      </c>
      <c r="AO209">
        <v>0</v>
      </c>
    </row>
    <row r="210" spans="1:41" x14ac:dyDescent="0.2">
      <c r="A210" s="10" t="s">
        <v>307</v>
      </c>
      <c r="B210" s="4" t="str">
        <f>F210&amp;"-"&amp;1</f>
        <v>34-1</v>
      </c>
      <c r="C210" s="10" t="s">
        <v>302</v>
      </c>
      <c r="D210" s="5" t="s">
        <v>303</v>
      </c>
      <c r="E210" s="10" t="s">
        <v>304</v>
      </c>
      <c r="F210">
        <v>34</v>
      </c>
      <c r="G210">
        <v>183571</v>
      </c>
      <c r="H210">
        <v>201339</v>
      </c>
      <c r="I210">
        <v>60937</v>
      </c>
      <c r="J210">
        <v>91804</v>
      </c>
      <c r="K210">
        <v>65720</v>
      </c>
      <c r="L210">
        <v>83870</v>
      </c>
      <c r="M210">
        <v>400</v>
      </c>
      <c r="N210">
        <v>3977</v>
      </c>
      <c r="O210">
        <v>3233</v>
      </c>
      <c r="P210">
        <v>3209</v>
      </c>
      <c r="Q210">
        <v>21967</v>
      </c>
      <c r="R210">
        <v>22394</v>
      </c>
      <c r="S210">
        <v>331</v>
      </c>
      <c r="T210">
        <v>488</v>
      </c>
      <c r="U210">
        <v>554</v>
      </c>
      <c r="V210">
        <v>528</v>
      </c>
      <c r="AA210">
        <v>28038</v>
      </c>
      <c r="AB210">
        <v>101205</v>
      </c>
      <c r="AC210">
        <f t="shared" si="33"/>
        <v>384910</v>
      </c>
      <c r="AD210">
        <f t="shared" si="34"/>
        <v>315051</v>
      </c>
      <c r="AE210">
        <f t="shared" si="35"/>
        <v>359412</v>
      </c>
      <c r="AF210">
        <f t="shared" si="36"/>
        <v>149590</v>
      </c>
      <c r="AG210">
        <f t="shared" si="37"/>
        <v>0.81850562469148636</v>
      </c>
      <c r="AH210">
        <f t="shared" si="38"/>
        <v>0.38863630459068355</v>
      </c>
      <c r="AI210">
        <f t="shared" si="8"/>
        <v>0.17124083496934972</v>
      </c>
      <c r="AJ210">
        <f t="shared" si="9"/>
        <v>0.36064975130642823</v>
      </c>
      <c r="AK210">
        <v>364751</v>
      </c>
      <c r="AL210">
        <v>508814</v>
      </c>
      <c r="AM210">
        <v>873565</v>
      </c>
      <c r="AN210" t="s">
        <v>43</v>
      </c>
      <c r="AO210" s="6">
        <v>1</v>
      </c>
    </row>
    <row r="211" spans="1:41" x14ac:dyDescent="0.2">
      <c r="A211" t="s">
        <v>308</v>
      </c>
      <c r="B211" s="4" t="str">
        <f>F211&amp;"-"&amp;4</f>
        <v>34-4</v>
      </c>
      <c r="C211" s="10" t="s">
        <v>302</v>
      </c>
      <c r="D211" s="5" t="s">
        <v>303</v>
      </c>
      <c r="E211" t="s">
        <v>304</v>
      </c>
      <c r="F211">
        <v>34</v>
      </c>
      <c r="G211">
        <v>2073</v>
      </c>
      <c r="H211">
        <v>3022</v>
      </c>
      <c r="I211">
        <v>3093</v>
      </c>
      <c r="J211">
        <v>3827</v>
      </c>
      <c r="K211">
        <v>401</v>
      </c>
      <c r="L211">
        <v>468</v>
      </c>
      <c r="O211">
        <v>1</v>
      </c>
      <c r="P211">
        <v>2</v>
      </c>
      <c r="R211">
        <v>1</v>
      </c>
      <c r="AA211">
        <v>32</v>
      </c>
      <c r="AB211">
        <v>49</v>
      </c>
      <c r="AC211">
        <f t="shared" si="33"/>
        <v>5095</v>
      </c>
      <c r="AD211">
        <f t="shared" si="34"/>
        <v>7792</v>
      </c>
      <c r="AE211">
        <f t="shared" si="35"/>
        <v>7793</v>
      </c>
      <c r="AF211">
        <f t="shared" si="36"/>
        <v>869</v>
      </c>
      <c r="AG211">
        <f t="shared" si="37"/>
        <v>1.5293424926398429</v>
      </c>
      <c r="AH211">
        <f t="shared" si="38"/>
        <v>0.17055937193326792</v>
      </c>
      <c r="AI211">
        <f t="shared" si="8"/>
        <v>6.7005937234944871E-2</v>
      </c>
      <c r="AJ211">
        <f t="shared" si="9"/>
        <v>0.60081733364176115</v>
      </c>
      <c r="AK211">
        <v>5600</v>
      </c>
      <c r="AL211">
        <v>7369</v>
      </c>
      <c r="AM211">
        <v>12969</v>
      </c>
      <c r="AN211" t="s">
        <v>43</v>
      </c>
      <c r="AO211">
        <v>0</v>
      </c>
    </row>
    <row r="212" spans="1:41" x14ac:dyDescent="0.2">
      <c r="A212" t="s">
        <v>309</v>
      </c>
      <c r="B212" s="4" t="str">
        <f>F212&amp;"-"&amp;2</f>
        <v>34-2</v>
      </c>
      <c r="C212" s="10" t="s">
        <v>302</v>
      </c>
      <c r="D212" s="5" t="s">
        <v>303</v>
      </c>
      <c r="E212" t="s">
        <v>304</v>
      </c>
      <c r="F212">
        <v>34</v>
      </c>
      <c r="G212">
        <v>1833</v>
      </c>
      <c r="H212">
        <v>3507</v>
      </c>
      <c r="I212">
        <v>4769</v>
      </c>
      <c r="J212">
        <v>6176</v>
      </c>
      <c r="K212">
        <v>505</v>
      </c>
      <c r="L212">
        <v>891</v>
      </c>
      <c r="N212">
        <v>15</v>
      </c>
      <c r="O212">
        <v>25</v>
      </c>
      <c r="P212">
        <v>36</v>
      </c>
      <c r="U212">
        <v>12</v>
      </c>
      <c r="V212">
        <v>19</v>
      </c>
      <c r="AA212">
        <v>52</v>
      </c>
      <c r="AB212">
        <v>135</v>
      </c>
      <c r="AC212">
        <f t="shared" si="33"/>
        <v>5340</v>
      </c>
      <c r="AD212">
        <f t="shared" si="34"/>
        <v>12448</v>
      </c>
      <c r="AE212">
        <f t="shared" si="35"/>
        <v>12448</v>
      </c>
      <c r="AF212">
        <f t="shared" si="36"/>
        <v>1396</v>
      </c>
      <c r="AG212">
        <f t="shared" si="37"/>
        <v>2.3310861423220972</v>
      </c>
      <c r="AH212">
        <f t="shared" si="38"/>
        <v>0.26142322097378279</v>
      </c>
      <c r="AI212">
        <f t="shared" si="8"/>
        <v>7.7663421418636996E-2</v>
      </c>
      <c r="AJ212">
        <f t="shared" si="9"/>
        <v>0.69251738525730178</v>
      </c>
      <c r="AK212">
        <v>7196</v>
      </c>
      <c r="AL212">
        <v>10779</v>
      </c>
      <c r="AM212">
        <v>17975</v>
      </c>
      <c r="AN212" t="s">
        <v>43</v>
      </c>
      <c r="AO212">
        <v>0</v>
      </c>
    </row>
    <row r="213" spans="1:41" x14ac:dyDescent="0.2">
      <c r="A213" t="s">
        <v>310</v>
      </c>
      <c r="B213" s="4" t="str">
        <f>F213&amp;"-"&amp;6</f>
        <v>34-6</v>
      </c>
      <c r="C213" s="10" t="s">
        <v>302</v>
      </c>
      <c r="D213" s="5" t="s">
        <v>303</v>
      </c>
      <c r="E213" t="s">
        <v>304</v>
      </c>
      <c r="F213">
        <v>34</v>
      </c>
      <c r="G213">
        <v>4964</v>
      </c>
      <c r="H213">
        <v>5350</v>
      </c>
      <c r="I213">
        <v>3166</v>
      </c>
      <c r="J213">
        <v>3281</v>
      </c>
      <c r="L213">
        <v>3</v>
      </c>
      <c r="AB213">
        <v>6</v>
      </c>
      <c r="AC213">
        <f t="shared" si="33"/>
        <v>10314</v>
      </c>
      <c r="AD213">
        <f t="shared" si="34"/>
        <v>6450</v>
      </c>
      <c r="AE213">
        <f t="shared" si="35"/>
        <v>6450</v>
      </c>
      <c r="AF213">
        <f t="shared" si="36"/>
        <v>3</v>
      </c>
      <c r="AG213">
        <f t="shared" si="37"/>
        <v>0.62536358347876675</v>
      </c>
      <c r="AH213">
        <f t="shared" si="38"/>
        <v>2.9086678301337986E-4</v>
      </c>
      <c r="AI213">
        <f t="shared" si="8"/>
        <v>1.7889087656529517E-4</v>
      </c>
      <c r="AJ213">
        <f t="shared" si="9"/>
        <v>0.38461538461538464</v>
      </c>
      <c r="AK213">
        <v>8130</v>
      </c>
      <c r="AL213">
        <v>8640</v>
      </c>
      <c r="AM213">
        <v>16770</v>
      </c>
      <c r="AN213" t="s">
        <v>43</v>
      </c>
      <c r="AO213">
        <v>0</v>
      </c>
    </row>
    <row r="214" spans="1:41" x14ac:dyDescent="0.2">
      <c r="A214" t="s">
        <v>311</v>
      </c>
      <c r="B214" s="4" t="str">
        <f t="shared" ref="B214:B265" si="46">D214&amp;"-"&amp;COUNTIF($C$2:C214,C214)</f>
        <v>37-2-1</v>
      </c>
      <c r="C214" t="s">
        <v>312</v>
      </c>
      <c r="D214" s="5" t="str">
        <f t="shared" ref="D214:D221" si="47">F214&amp;"-"&amp;2</f>
        <v>37-2</v>
      </c>
      <c r="E214" t="s">
        <v>313</v>
      </c>
      <c r="F214">
        <v>37</v>
      </c>
      <c r="G214">
        <v>24284</v>
      </c>
      <c r="H214">
        <v>25535</v>
      </c>
      <c r="I214">
        <v>200</v>
      </c>
      <c r="J214">
        <v>180</v>
      </c>
      <c r="K214">
        <v>95</v>
      </c>
      <c r="L214">
        <v>100</v>
      </c>
      <c r="P214">
        <v>13</v>
      </c>
      <c r="AC214">
        <f t="shared" si="33"/>
        <v>49819</v>
      </c>
      <c r="AD214">
        <f t="shared" si="34"/>
        <v>588</v>
      </c>
      <c r="AE214">
        <f t="shared" si="35"/>
        <v>588</v>
      </c>
      <c r="AF214">
        <f t="shared" si="36"/>
        <v>195</v>
      </c>
      <c r="AG214">
        <f t="shared" si="37"/>
        <v>1.180272586764086E-2</v>
      </c>
      <c r="AH214">
        <f t="shared" si="38"/>
        <v>3.9141692928400815E-3</v>
      </c>
      <c r="AI214">
        <f t="shared" si="8"/>
        <v>3.8695082747946183E-3</v>
      </c>
      <c r="AJ214">
        <f t="shared" si="9"/>
        <v>1.1668055720919158E-2</v>
      </c>
      <c r="AK214">
        <v>24579</v>
      </c>
      <c r="AL214">
        <v>25815</v>
      </c>
      <c r="AM214">
        <v>50394</v>
      </c>
      <c r="AN214" t="s">
        <v>43</v>
      </c>
      <c r="AO214">
        <v>0</v>
      </c>
    </row>
    <row r="215" spans="1:41" x14ac:dyDescent="0.2">
      <c r="A215" t="s">
        <v>314</v>
      </c>
      <c r="B215" s="4" t="str">
        <f t="shared" si="46"/>
        <v>37-2-2</v>
      </c>
      <c r="C215" t="s">
        <v>312</v>
      </c>
      <c r="D215" s="5" t="str">
        <f t="shared" si="47"/>
        <v>37-2</v>
      </c>
      <c r="E215" t="s">
        <v>313</v>
      </c>
      <c r="F215">
        <v>37</v>
      </c>
      <c r="G215">
        <v>21632</v>
      </c>
      <c r="H215">
        <v>21034</v>
      </c>
      <c r="J215">
        <v>17</v>
      </c>
      <c r="K215">
        <v>397</v>
      </c>
      <c r="L215">
        <v>428</v>
      </c>
      <c r="AC215">
        <f t="shared" si="33"/>
        <v>42666</v>
      </c>
      <c r="AD215">
        <f t="shared" si="34"/>
        <v>842</v>
      </c>
      <c r="AE215">
        <f t="shared" si="35"/>
        <v>842</v>
      </c>
      <c r="AF215">
        <f t="shared" si="36"/>
        <v>825</v>
      </c>
      <c r="AG215">
        <f t="shared" si="37"/>
        <v>1.9734683354427414E-2</v>
      </c>
      <c r="AH215">
        <f t="shared" si="38"/>
        <v>1.9336239628744201E-2</v>
      </c>
      <c r="AI215">
        <f t="shared" si="8"/>
        <v>1.8956365892327843E-2</v>
      </c>
      <c r="AJ215">
        <f t="shared" si="9"/>
        <v>1.9346981916775811E-2</v>
      </c>
      <c r="AK215">
        <v>22029</v>
      </c>
      <c r="AL215">
        <v>21492</v>
      </c>
      <c r="AM215">
        <v>43521</v>
      </c>
      <c r="AN215" t="s">
        <v>43</v>
      </c>
      <c r="AO215" s="6">
        <v>1</v>
      </c>
    </row>
    <row r="216" spans="1:41" x14ac:dyDescent="0.2">
      <c r="A216" t="s">
        <v>315</v>
      </c>
      <c r="B216" s="4" t="str">
        <f t="shared" si="46"/>
        <v>37-2-3</v>
      </c>
      <c r="C216" t="s">
        <v>312</v>
      </c>
      <c r="D216" s="5" t="str">
        <f t="shared" si="47"/>
        <v>37-2</v>
      </c>
      <c r="E216" t="s">
        <v>313</v>
      </c>
      <c r="F216">
        <v>37</v>
      </c>
      <c r="G216">
        <v>14497</v>
      </c>
      <c r="H216">
        <v>16015</v>
      </c>
      <c r="I216">
        <v>22</v>
      </c>
      <c r="J216">
        <v>58</v>
      </c>
      <c r="K216">
        <v>13</v>
      </c>
      <c r="L216">
        <v>52</v>
      </c>
      <c r="N216">
        <v>2</v>
      </c>
      <c r="AB216">
        <v>1</v>
      </c>
      <c r="AC216">
        <f t="shared" si="33"/>
        <v>30512</v>
      </c>
      <c r="AD216">
        <f t="shared" si="34"/>
        <v>147</v>
      </c>
      <c r="AE216">
        <f t="shared" si="35"/>
        <v>147</v>
      </c>
      <c r="AF216">
        <f t="shared" si="36"/>
        <v>65</v>
      </c>
      <c r="AG216">
        <f t="shared" si="37"/>
        <v>4.8177766124803357E-3</v>
      </c>
      <c r="AH216">
        <f t="shared" si="38"/>
        <v>2.1303093864708969E-3</v>
      </c>
      <c r="AI216">
        <f t="shared" si="8"/>
        <v>2.1200260926288322E-3</v>
      </c>
      <c r="AJ216">
        <f t="shared" si="9"/>
        <v>4.7945205479452057E-3</v>
      </c>
      <c r="AK216">
        <v>14532</v>
      </c>
      <c r="AL216">
        <v>16128</v>
      </c>
      <c r="AM216">
        <v>30660</v>
      </c>
      <c r="AN216" t="s">
        <v>43</v>
      </c>
      <c r="AO216">
        <v>0</v>
      </c>
    </row>
    <row r="217" spans="1:41" x14ac:dyDescent="0.2">
      <c r="A217" t="s">
        <v>316</v>
      </c>
      <c r="B217" s="4" t="str">
        <f t="shared" si="46"/>
        <v>37-2-4</v>
      </c>
      <c r="C217" t="s">
        <v>312</v>
      </c>
      <c r="D217" s="5" t="str">
        <f t="shared" si="47"/>
        <v>37-2</v>
      </c>
      <c r="E217" t="s">
        <v>313</v>
      </c>
      <c r="F217">
        <v>37</v>
      </c>
      <c r="G217">
        <v>15926</v>
      </c>
      <c r="H217">
        <v>17981</v>
      </c>
      <c r="I217">
        <v>363</v>
      </c>
      <c r="J217">
        <v>372</v>
      </c>
      <c r="AC217">
        <f t="shared" si="33"/>
        <v>33907</v>
      </c>
      <c r="AD217">
        <f t="shared" si="34"/>
        <v>735</v>
      </c>
      <c r="AE217">
        <f t="shared" si="35"/>
        <v>735</v>
      </c>
      <c r="AF217">
        <f t="shared" si="36"/>
        <v>0</v>
      </c>
      <c r="AG217">
        <f t="shared" si="37"/>
        <v>2.1676939864924648E-2</v>
      </c>
      <c r="AH217">
        <f t="shared" si="38"/>
        <v>0</v>
      </c>
      <c r="AI217">
        <f t="shared" si="8"/>
        <v>0</v>
      </c>
      <c r="AJ217">
        <f t="shared" si="9"/>
        <v>2.1217019802551817E-2</v>
      </c>
      <c r="AK217">
        <v>16289</v>
      </c>
      <c r="AL217">
        <v>18353</v>
      </c>
      <c r="AM217">
        <v>34642</v>
      </c>
      <c r="AN217" t="s">
        <v>43</v>
      </c>
      <c r="AO217">
        <v>0</v>
      </c>
    </row>
    <row r="218" spans="1:41" x14ac:dyDescent="0.2">
      <c r="A218" t="s">
        <v>317</v>
      </c>
      <c r="B218" s="4" t="str">
        <f t="shared" si="46"/>
        <v>37-2-5</v>
      </c>
      <c r="C218" t="s">
        <v>312</v>
      </c>
      <c r="D218" s="5" t="str">
        <f t="shared" si="47"/>
        <v>37-2</v>
      </c>
      <c r="E218" t="s">
        <v>313</v>
      </c>
      <c r="F218">
        <v>37</v>
      </c>
      <c r="G218">
        <v>20174</v>
      </c>
      <c r="H218">
        <v>19130</v>
      </c>
      <c r="I218">
        <v>27</v>
      </c>
      <c r="J218">
        <v>97</v>
      </c>
      <c r="L218">
        <v>7</v>
      </c>
      <c r="P218">
        <v>23</v>
      </c>
      <c r="AC218">
        <f t="shared" si="33"/>
        <v>39304</v>
      </c>
      <c r="AD218">
        <f t="shared" si="34"/>
        <v>154</v>
      </c>
      <c r="AE218">
        <f t="shared" si="35"/>
        <v>154</v>
      </c>
      <c r="AF218">
        <f t="shared" si="36"/>
        <v>7</v>
      </c>
      <c r="AG218">
        <f t="shared" si="37"/>
        <v>3.9181762670466112E-3</v>
      </c>
      <c r="AH218">
        <f t="shared" si="38"/>
        <v>1.7809892122939142E-4</v>
      </c>
      <c r="AI218">
        <f t="shared" si="8"/>
        <v>1.7740382178518932E-4</v>
      </c>
      <c r="AJ218">
        <f t="shared" si="9"/>
        <v>3.9028840792741651E-3</v>
      </c>
      <c r="AK218">
        <v>20201</v>
      </c>
      <c r="AL218">
        <v>19257</v>
      </c>
      <c r="AM218">
        <v>39458</v>
      </c>
      <c r="AN218" t="s">
        <v>43</v>
      </c>
      <c r="AO218">
        <v>0</v>
      </c>
    </row>
    <row r="219" spans="1:41" x14ac:dyDescent="0.2">
      <c r="A219" t="s">
        <v>318</v>
      </c>
      <c r="B219" s="4" t="str">
        <f t="shared" si="46"/>
        <v>37-2-6</v>
      </c>
      <c r="C219" t="s">
        <v>312</v>
      </c>
      <c r="D219" s="5" t="str">
        <f t="shared" si="47"/>
        <v>37-2</v>
      </c>
      <c r="E219" t="s">
        <v>313</v>
      </c>
      <c r="F219">
        <v>37</v>
      </c>
      <c r="G219">
        <v>8377</v>
      </c>
      <c r="H219">
        <v>7762</v>
      </c>
      <c r="I219">
        <v>2</v>
      </c>
      <c r="J219">
        <v>9</v>
      </c>
      <c r="AC219">
        <f t="shared" si="33"/>
        <v>16139</v>
      </c>
      <c r="AD219">
        <f t="shared" si="34"/>
        <v>11</v>
      </c>
      <c r="AE219">
        <f t="shared" si="35"/>
        <v>11</v>
      </c>
      <c r="AF219">
        <f t="shared" si="36"/>
        <v>0</v>
      </c>
      <c r="AG219">
        <f t="shared" si="37"/>
        <v>6.8157878431129566E-4</v>
      </c>
      <c r="AH219">
        <f t="shared" si="38"/>
        <v>0</v>
      </c>
      <c r="AI219">
        <f t="shared" si="8"/>
        <v>0</v>
      </c>
      <c r="AJ219">
        <f t="shared" si="9"/>
        <v>6.8111455108359133E-4</v>
      </c>
      <c r="AK219">
        <v>8379</v>
      </c>
      <c r="AL219">
        <v>7771</v>
      </c>
      <c r="AM219">
        <v>16150</v>
      </c>
      <c r="AN219" t="s">
        <v>43</v>
      </c>
      <c r="AO219">
        <v>0</v>
      </c>
    </row>
    <row r="220" spans="1:41" x14ac:dyDescent="0.2">
      <c r="A220" t="s">
        <v>319</v>
      </c>
      <c r="B220" s="4" t="str">
        <f t="shared" si="46"/>
        <v>37-2-7</v>
      </c>
      <c r="C220" t="s">
        <v>312</v>
      </c>
      <c r="D220" s="5" t="str">
        <f t="shared" si="47"/>
        <v>37-2</v>
      </c>
      <c r="E220" t="s">
        <v>313</v>
      </c>
      <c r="F220">
        <v>37</v>
      </c>
      <c r="G220">
        <v>21389</v>
      </c>
      <c r="H220">
        <v>28231</v>
      </c>
      <c r="K220">
        <v>162</v>
      </c>
      <c r="L220">
        <v>192</v>
      </c>
      <c r="AC220">
        <f t="shared" si="33"/>
        <v>49620</v>
      </c>
      <c r="AD220">
        <f t="shared" si="34"/>
        <v>354</v>
      </c>
      <c r="AE220">
        <f t="shared" si="35"/>
        <v>354</v>
      </c>
      <c r="AF220">
        <f t="shared" si="36"/>
        <v>354</v>
      </c>
      <c r="AG220">
        <f t="shared" si="37"/>
        <v>7.1342200725513904E-3</v>
      </c>
      <c r="AH220">
        <f t="shared" si="38"/>
        <v>7.1342200725513904E-3</v>
      </c>
      <c r="AI220">
        <f t="shared" si="8"/>
        <v>7.0836835154280227E-3</v>
      </c>
      <c r="AJ220">
        <f t="shared" si="9"/>
        <v>7.0836835154280227E-3</v>
      </c>
      <c r="AK220">
        <v>21551</v>
      </c>
      <c r="AL220">
        <v>28423</v>
      </c>
      <c r="AM220">
        <v>49974</v>
      </c>
      <c r="AN220" t="s">
        <v>43</v>
      </c>
      <c r="AO220">
        <v>0</v>
      </c>
    </row>
    <row r="221" spans="1:41" x14ac:dyDescent="0.2">
      <c r="A221" t="s">
        <v>320</v>
      </c>
      <c r="B221" s="4" t="str">
        <f t="shared" si="46"/>
        <v>37-2-8</v>
      </c>
      <c r="C221" t="s">
        <v>312</v>
      </c>
      <c r="D221" s="5" t="str">
        <f t="shared" si="47"/>
        <v>37-2</v>
      </c>
      <c r="E221" t="s">
        <v>313</v>
      </c>
      <c r="F221">
        <v>37</v>
      </c>
      <c r="G221">
        <v>13341</v>
      </c>
      <c r="H221">
        <v>13148</v>
      </c>
      <c r="AC221">
        <f t="shared" si="33"/>
        <v>26489</v>
      </c>
      <c r="AD221">
        <f t="shared" si="34"/>
        <v>0</v>
      </c>
      <c r="AE221">
        <f t="shared" si="35"/>
        <v>0</v>
      </c>
      <c r="AF221">
        <f t="shared" si="36"/>
        <v>0</v>
      </c>
      <c r="AG221">
        <f t="shared" si="37"/>
        <v>0</v>
      </c>
      <c r="AH221">
        <f t="shared" si="38"/>
        <v>0</v>
      </c>
      <c r="AI221">
        <f t="shared" si="8"/>
        <v>0</v>
      </c>
      <c r="AJ221">
        <f t="shared" si="9"/>
        <v>0</v>
      </c>
      <c r="AK221">
        <v>13341</v>
      </c>
      <c r="AL221">
        <v>13148</v>
      </c>
      <c r="AM221">
        <v>26489</v>
      </c>
      <c r="AN221" t="s">
        <v>43</v>
      </c>
      <c r="AO221">
        <v>0</v>
      </c>
    </row>
    <row r="222" spans="1:41" x14ac:dyDescent="0.2">
      <c r="A222" t="s">
        <v>321</v>
      </c>
      <c r="B222" s="4" t="str">
        <f t="shared" si="46"/>
        <v>37-4-1</v>
      </c>
      <c r="C222" t="s">
        <v>322</v>
      </c>
      <c r="D222" s="5" t="str">
        <f t="shared" ref="D222:D224" si="48">F222&amp;"-"&amp;4</f>
        <v>37-4</v>
      </c>
      <c r="E222" t="s">
        <v>313</v>
      </c>
      <c r="F222">
        <v>37</v>
      </c>
      <c r="G222">
        <v>41190</v>
      </c>
      <c r="H222">
        <v>42917</v>
      </c>
      <c r="I222">
        <v>368</v>
      </c>
      <c r="J222">
        <v>390</v>
      </c>
      <c r="K222">
        <v>155</v>
      </c>
      <c r="L222">
        <v>143</v>
      </c>
      <c r="AC222">
        <f t="shared" si="33"/>
        <v>84107</v>
      </c>
      <c r="AD222">
        <f t="shared" si="34"/>
        <v>1056</v>
      </c>
      <c r="AE222">
        <f t="shared" si="35"/>
        <v>1056</v>
      </c>
      <c r="AF222">
        <f t="shared" si="36"/>
        <v>298</v>
      </c>
      <c r="AG222">
        <f t="shared" si="37"/>
        <v>1.2555435338319047E-2</v>
      </c>
      <c r="AH222">
        <f t="shared" si="38"/>
        <v>3.5431058056998822E-3</v>
      </c>
      <c r="AI222">
        <f t="shared" si="8"/>
        <v>3.4991721757101088E-3</v>
      </c>
      <c r="AJ222">
        <f t="shared" si="9"/>
        <v>1.2399751065603606E-2</v>
      </c>
      <c r="AK222">
        <v>41713</v>
      </c>
      <c r="AL222">
        <v>43450</v>
      </c>
      <c r="AM222">
        <v>85163</v>
      </c>
      <c r="AN222" t="s">
        <v>43</v>
      </c>
      <c r="AO222" s="6">
        <v>1</v>
      </c>
    </row>
    <row r="223" spans="1:41" x14ac:dyDescent="0.2">
      <c r="A223" t="s">
        <v>323</v>
      </c>
      <c r="B223" s="4" t="str">
        <f t="shared" si="46"/>
        <v>37-4-2</v>
      </c>
      <c r="C223" t="s">
        <v>322</v>
      </c>
      <c r="D223" s="5" t="str">
        <f t="shared" si="48"/>
        <v>37-4</v>
      </c>
      <c r="E223" t="s">
        <v>313</v>
      </c>
      <c r="F223">
        <v>37</v>
      </c>
      <c r="G223">
        <v>26957</v>
      </c>
      <c r="H223">
        <v>27529</v>
      </c>
      <c r="AC223">
        <f t="shared" si="33"/>
        <v>54486</v>
      </c>
      <c r="AD223">
        <f t="shared" si="34"/>
        <v>0</v>
      </c>
      <c r="AE223">
        <f t="shared" si="35"/>
        <v>0</v>
      </c>
      <c r="AF223">
        <f t="shared" si="36"/>
        <v>0</v>
      </c>
      <c r="AG223">
        <f t="shared" si="37"/>
        <v>0</v>
      </c>
      <c r="AH223">
        <f t="shared" si="38"/>
        <v>0</v>
      </c>
      <c r="AI223">
        <f t="shared" si="8"/>
        <v>0</v>
      </c>
      <c r="AJ223">
        <f t="shared" si="9"/>
        <v>0</v>
      </c>
      <c r="AK223">
        <v>26957</v>
      </c>
      <c r="AL223">
        <v>27529</v>
      </c>
      <c r="AM223">
        <v>54486</v>
      </c>
      <c r="AN223" t="s">
        <v>43</v>
      </c>
      <c r="AO223">
        <v>0</v>
      </c>
    </row>
    <row r="224" spans="1:41" x14ac:dyDescent="0.2">
      <c r="A224" t="s">
        <v>324</v>
      </c>
      <c r="B224" s="4" t="str">
        <f t="shared" si="46"/>
        <v>37-4-3</v>
      </c>
      <c r="C224" t="s">
        <v>322</v>
      </c>
      <c r="D224" s="5" t="str">
        <f t="shared" si="48"/>
        <v>37-4</v>
      </c>
      <c r="E224" t="s">
        <v>313</v>
      </c>
      <c r="F224">
        <v>37</v>
      </c>
      <c r="G224">
        <v>20724</v>
      </c>
      <c r="H224">
        <v>22517</v>
      </c>
      <c r="AC224">
        <f t="shared" si="33"/>
        <v>43241</v>
      </c>
      <c r="AD224">
        <f t="shared" si="34"/>
        <v>0</v>
      </c>
      <c r="AE224">
        <f t="shared" si="35"/>
        <v>0</v>
      </c>
      <c r="AF224">
        <f t="shared" si="36"/>
        <v>0</v>
      </c>
      <c r="AG224">
        <f t="shared" si="37"/>
        <v>0</v>
      </c>
      <c r="AH224">
        <f t="shared" si="38"/>
        <v>0</v>
      </c>
      <c r="AI224">
        <f t="shared" si="8"/>
        <v>0</v>
      </c>
      <c r="AJ224">
        <f t="shared" si="9"/>
        <v>0</v>
      </c>
      <c r="AK224">
        <v>20724</v>
      </c>
      <c r="AL224">
        <v>22517</v>
      </c>
      <c r="AM224">
        <v>43241</v>
      </c>
      <c r="AN224" t="s">
        <v>43</v>
      </c>
      <c r="AO224">
        <v>0</v>
      </c>
    </row>
    <row r="225" spans="1:41" x14ac:dyDescent="0.2">
      <c r="A225" t="s">
        <v>325</v>
      </c>
      <c r="B225" s="4" t="str">
        <f t="shared" si="46"/>
        <v>37-1-1</v>
      </c>
      <c r="C225" t="s">
        <v>326</v>
      </c>
      <c r="D225" s="5" t="str">
        <f t="shared" ref="D225:D232" si="49">F225&amp;"-"&amp;1</f>
        <v>37-1</v>
      </c>
      <c r="E225" t="s">
        <v>313</v>
      </c>
      <c r="F225">
        <v>37</v>
      </c>
      <c r="G225">
        <v>15878</v>
      </c>
      <c r="H225">
        <v>17253</v>
      </c>
      <c r="AC225">
        <f t="shared" si="33"/>
        <v>33131</v>
      </c>
      <c r="AD225">
        <f t="shared" si="34"/>
        <v>0</v>
      </c>
      <c r="AE225">
        <f t="shared" si="35"/>
        <v>0</v>
      </c>
      <c r="AF225">
        <f t="shared" si="36"/>
        <v>0</v>
      </c>
      <c r="AG225">
        <f t="shared" si="37"/>
        <v>0</v>
      </c>
      <c r="AH225">
        <f t="shared" si="38"/>
        <v>0</v>
      </c>
      <c r="AI225">
        <f t="shared" si="8"/>
        <v>0</v>
      </c>
      <c r="AJ225">
        <f t="shared" si="9"/>
        <v>0</v>
      </c>
      <c r="AK225">
        <v>15878</v>
      </c>
      <c r="AL225">
        <v>17253</v>
      </c>
      <c r="AM225">
        <v>33131</v>
      </c>
      <c r="AN225" t="s">
        <v>43</v>
      </c>
      <c r="AO225">
        <v>0</v>
      </c>
    </row>
    <row r="226" spans="1:41" x14ac:dyDescent="0.2">
      <c r="A226" t="s">
        <v>327</v>
      </c>
      <c r="B226" s="4" t="str">
        <f t="shared" si="46"/>
        <v>37-1-2</v>
      </c>
      <c r="C226" t="s">
        <v>326</v>
      </c>
      <c r="D226" s="5" t="str">
        <f t="shared" si="49"/>
        <v>37-1</v>
      </c>
      <c r="E226" t="s">
        <v>313</v>
      </c>
      <c r="F226">
        <v>37</v>
      </c>
      <c r="G226">
        <v>19431</v>
      </c>
      <c r="H226">
        <v>19538</v>
      </c>
      <c r="AC226">
        <f t="shared" si="33"/>
        <v>38969</v>
      </c>
      <c r="AD226">
        <f t="shared" si="34"/>
        <v>0</v>
      </c>
      <c r="AE226">
        <f t="shared" si="35"/>
        <v>0</v>
      </c>
      <c r="AF226">
        <f t="shared" si="36"/>
        <v>0</v>
      </c>
      <c r="AG226">
        <f t="shared" si="37"/>
        <v>0</v>
      </c>
      <c r="AH226">
        <f t="shared" si="38"/>
        <v>0</v>
      </c>
      <c r="AI226">
        <f t="shared" si="8"/>
        <v>0</v>
      </c>
      <c r="AJ226">
        <f t="shared" si="9"/>
        <v>0</v>
      </c>
      <c r="AK226">
        <v>19437</v>
      </c>
      <c r="AL226">
        <v>19538</v>
      </c>
      <c r="AM226">
        <v>38975</v>
      </c>
      <c r="AN226" t="s">
        <v>43</v>
      </c>
      <c r="AO226">
        <v>0</v>
      </c>
    </row>
    <row r="227" spans="1:41" x14ac:dyDescent="0.2">
      <c r="A227" t="s">
        <v>328</v>
      </c>
      <c r="B227" s="4" t="str">
        <f t="shared" si="46"/>
        <v>37-1-3</v>
      </c>
      <c r="C227" t="s">
        <v>326</v>
      </c>
      <c r="D227" s="5" t="str">
        <f t="shared" si="49"/>
        <v>37-1</v>
      </c>
      <c r="E227" t="s">
        <v>313</v>
      </c>
      <c r="F227">
        <v>37</v>
      </c>
      <c r="G227">
        <v>20734</v>
      </c>
      <c r="H227">
        <v>19714</v>
      </c>
      <c r="I227">
        <v>6</v>
      </c>
      <c r="J227">
        <v>4</v>
      </c>
      <c r="K227">
        <v>86</v>
      </c>
      <c r="L227">
        <v>96</v>
      </c>
      <c r="AC227">
        <f t="shared" si="33"/>
        <v>40448</v>
      </c>
      <c r="AD227">
        <f t="shared" si="34"/>
        <v>192</v>
      </c>
      <c r="AE227">
        <f t="shared" si="35"/>
        <v>192</v>
      </c>
      <c r="AF227">
        <f t="shared" si="36"/>
        <v>182</v>
      </c>
      <c r="AG227">
        <f t="shared" si="37"/>
        <v>4.7468354430379748E-3</v>
      </c>
      <c r="AH227">
        <f t="shared" si="38"/>
        <v>4.4996044303797465E-3</v>
      </c>
      <c r="AI227">
        <f t="shared" si="8"/>
        <v>4.4783464566929138E-3</v>
      </c>
      <c r="AJ227">
        <f t="shared" si="9"/>
        <v>4.7244094488188976E-3</v>
      </c>
      <c r="AK227">
        <v>20826</v>
      </c>
      <c r="AL227">
        <v>19814</v>
      </c>
      <c r="AM227">
        <v>40640</v>
      </c>
      <c r="AN227" t="s">
        <v>43</v>
      </c>
      <c r="AO227">
        <v>0</v>
      </c>
    </row>
    <row r="228" spans="1:41" x14ac:dyDescent="0.2">
      <c r="A228" t="s">
        <v>329</v>
      </c>
      <c r="B228" s="4" t="str">
        <f t="shared" si="46"/>
        <v>37-1-4</v>
      </c>
      <c r="C228" t="s">
        <v>326</v>
      </c>
      <c r="D228" s="5" t="str">
        <f t="shared" si="49"/>
        <v>37-1</v>
      </c>
      <c r="E228" t="s">
        <v>313</v>
      </c>
      <c r="F228">
        <v>37</v>
      </c>
      <c r="G228">
        <v>29678</v>
      </c>
      <c r="H228">
        <v>29004</v>
      </c>
      <c r="I228">
        <v>739</v>
      </c>
      <c r="J228">
        <v>758</v>
      </c>
      <c r="K228">
        <v>9</v>
      </c>
      <c r="L228">
        <v>8</v>
      </c>
      <c r="AC228">
        <f t="shared" si="33"/>
        <v>58682</v>
      </c>
      <c r="AD228">
        <f t="shared" si="34"/>
        <v>1514</v>
      </c>
      <c r="AE228">
        <f t="shared" si="35"/>
        <v>1514</v>
      </c>
      <c r="AF228">
        <f t="shared" si="36"/>
        <v>17</v>
      </c>
      <c r="AG228">
        <f t="shared" si="37"/>
        <v>2.5800074980402848E-2</v>
      </c>
      <c r="AH228">
        <f t="shared" si="38"/>
        <v>2.8969701100848644E-4</v>
      </c>
      <c r="AI228">
        <f t="shared" si="8"/>
        <v>2.8241079141471195E-4</v>
      </c>
      <c r="AJ228">
        <f t="shared" si="9"/>
        <v>2.5151172835404346E-2</v>
      </c>
      <c r="AK228">
        <v>30426</v>
      </c>
      <c r="AL228">
        <v>29770</v>
      </c>
      <c r="AM228">
        <v>60196</v>
      </c>
      <c r="AN228" t="s">
        <v>43</v>
      </c>
      <c r="AO228">
        <v>0</v>
      </c>
    </row>
    <row r="229" spans="1:41" x14ac:dyDescent="0.2">
      <c r="A229" t="s">
        <v>330</v>
      </c>
      <c r="B229" s="4" t="str">
        <f t="shared" si="46"/>
        <v>37-1-5</v>
      </c>
      <c r="C229" t="s">
        <v>326</v>
      </c>
      <c r="D229" s="5" t="str">
        <f t="shared" si="49"/>
        <v>37-1</v>
      </c>
      <c r="E229" t="s">
        <v>313</v>
      </c>
      <c r="F229">
        <v>37</v>
      </c>
      <c r="G229">
        <v>28107</v>
      </c>
      <c r="H229">
        <v>26288</v>
      </c>
      <c r="I229">
        <v>813</v>
      </c>
      <c r="J229">
        <v>782</v>
      </c>
      <c r="K229">
        <v>261</v>
      </c>
      <c r="L229">
        <v>300</v>
      </c>
      <c r="AC229">
        <f t="shared" si="33"/>
        <v>54395</v>
      </c>
      <c r="AD229">
        <f t="shared" si="34"/>
        <v>2156</v>
      </c>
      <c r="AE229">
        <f t="shared" si="35"/>
        <v>2156</v>
      </c>
      <c r="AF229">
        <f t="shared" si="36"/>
        <v>561</v>
      </c>
      <c r="AG229">
        <f t="shared" si="37"/>
        <v>3.9635995955510615E-2</v>
      </c>
      <c r="AH229">
        <f t="shared" si="38"/>
        <v>1.0313447927199191E-2</v>
      </c>
      <c r="AI229">
        <f t="shared" si="8"/>
        <v>9.9202489787978999E-3</v>
      </c>
      <c r="AJ229">
        <f t="shared" si="9"/>
        <v>3.8124878428321338E-2</v>
      </c>
      <c r="AK229">
        <v>29181</v>
      </c>
      <c r="AL229">
        <v>27370</v>
      </c>
      <c r="AM229">
        <v>56551</v>
      </c>
      <c r="AN229" t="s">
        <v>43</v>
      </c>
      <c r="AO229" s="6">
        <v>1</v>
      </c>
    </row>
    <row r="230" spans="1:41" x14ac:dyDescent="0.2">
      <c r="A230" t="s">
        <v>331</v>
      </c>
      <c r="B230" s="4" t="str">
        <f t="shared" si="46"/>
        <v>37-1-6</v>
      </c>
      <c r="C230" t="s">
        <v>326</v>
      </c>
      <c r="D230" s="5" t="str">
        <f t="shared" si="49"/>
        <v>37-1</v>
      </c>
      <c r="E230" t="s">
        <v>313</v>
      </c>
      <c r="F230">
        <v>37</v>
      </c>
      <c r="G230">
        <v>24070</v>
      </c>
      <c r="H230">
        <v>25127</v>
      </c>
      <c r="I230">
        <v>1658</v>
      </c>
      <c r="J230">
        <v>1668</v>
      </c>
      <c r="AC230">
        <f t="shared" si="33"/>
        <v>49197</v>
      </c>
      <c r="AD230">
        <f t="shared" si="34"/>
        <v>3326</v>
      </c>
      <c r="AE230">
        <f t="shared" si="35"/>
        <v>3326</v>
      </c>
      <c r="AF230">
        <f t="shared" si="36"/>
        <v>0</v>
      </c>
      <c r="AG230">
        <f t="shared" si="37"/>
        <v>6.7605748317986866E-2</v>
      </c>
      <c r="AH230">
        <f t="shared" si="38"/>
        <v>0</v>
      </c>
      <c r="AI230">
        <f t="shared" si="8"/>
        <v>0</v>
      </c>
      <c r="AJ230">
        <f t="shared" si="9"/>
        <v>6.3324638729699373E-2</v>
      </c>
      <c r="AK230">
        <v>25728</v>
      </c>
      <c r="AL230">
        <v>26795</v>
      </c>
      <c r="AM230">
        <v>52523</v>
      </c>
      <c r="AN230" t="s">
        <v>43</v>
      </c>
      <c r="AO230">
        <v>0</v>
      </c>
    </row>
    <row r="231" spans="1:41" x14ac:dyDescent="0.2">
      <c r="A231" t="s">
        <v>332</v>
      </c>
      <c r="B231" s="4" t="str">
        <f t="shared" si="46"/>
        <v>37-1-7</v>
      </c>
      <c r="C231" t="s">
        <v>326</v>
      </c>
      <c r="D231" s="5" t="str">
        <f t="shared" si="49"/>
        <v>37-1</v>
      </c>
      <c r="E231" t="s">
        <v>313</v>
      </c>
      <c r="F231">
        <v>37</v>
      </c>
      <c r="G231">
        <v>19564</v>
      </c>
      <c r="H231">
        <v>20075</v>
      </c>
      <c r="I231">
        <v>300</v>
      </c>
      <c r="J231">
        <v>296</v>
      </c>
      <c r="AC231">
        <f t="shared" si="33"/>
        <v>39639</v>
      </c>
      <c r="AD231">
        <f t="shared" si="34"/>
        <v>596</v>
      </c>
      <c r="AE231">
        <f t="shared" si="35"/>
        <v>596</v>
      </c>
      <c r="AF231">
        <f t="shared" si="36"/>
        <v>0</v>
      </c>
      <c r="AG231">
        <f t="shared" si="37"/>
        <v>1.5035697166931558E-2</v>
      </c>
      <c r="AH231">
        <f t="shared" si="38"/>
        <v>0</v>
      </c>
      <c r="AI231">
        <f t="shared" si="8"/>
        <v>0</v>
      </c>
      <c r="AJ231">
        <f t="shared" si="9"/>
        <v>1.4812973779048092E-2</v>
      </c>
      <c r="AK231">
        <v>19864</v>
      </c>
      <c r="AL231">
        <v>20371</v>
      </c>
      <c r="AM231">
        <v>40235</v>
      </c>
      <c r="AN231" t="s">
        <v>43</v>
      </c>
      <c r="AO231">
        <v>0</v>
      </c>
    </row>
    <row r="232" spans="1:41" x14ac:dyDescent="0.2">
      <c r="A232" t="s">
        <v>333</v>
      </c>
      <c r="B232" s="4" t="str">
        <f t="shared" si="46"/>
        <v>37-1-8</v>
      </c>
      <c r="C232" t="s">
        <v>326</v>
      </c>
      <c r="D232" s="5" t="str">
        <f t="shared" si="49"/>
        <v>37-1</v>
      </c>
      <c r="E232" t="s">
        <v>313</v>
      </c>
      <c r="F232">
        <v>37</v>
      </c>
      <c r="G232">
        <v>16288</v>
      </c>
      <c r="H232">
        <v>16731</v>
      </c>
      <c r="I232">
        <v>256</v>
      </c>
      <c r="J232">
        <v>225</v>
      </c>
      <c r="AC232">
        <f t="shared" si="33"/>
        <v>33019</v>
      </c>
      <c r="AD232">
        <f t="shared" si="34"/>
        <v>481</v>
      </c>
      <c r="AE232">
        <f t="shared" si="35"/>
        <v>481</v>
      </c>
      <c r="AF232">
        <f t="shared" si="36"/>
        <v>0</v>
      </c>
      <c r="AG232">
        <f t="shared" si="37"/>
        <v>1.4567370301947364E-2</v>
      </c>
      <c r="AH232">
        <f t="shared" si="38"/>
        <v>0</v>
      </c>
      <c r="AI232">
        <f t="shared" si="8"/>
        <v>0</v>
      </c>
      <c r="AJ232">
        <f t="shared" si="9"/>
        <v>1.4345362362063824E-2</v>
      </c>
      <c r="AK232">
        <v>16544</v>
      </c>
      <c r="AL232">
        <v>16986</v>
      </c>
      <c r="AM232">
        <v>33530</v>
      </c>
      <c r="AN232" t="s">
        <v>43</v>
      </c>
      <c r="AO232">
        <v>0</v>
      </c>
    </row>
    <row r="233" spans="1:41" x14ac:dyDescent="0.2">
      <c r="A233" t="s">
        <v>334</v>
      </c>
      <c r="B233" s="4" t="str">
        <f t="shared" si="46"/>
        <v>37-3-1</v>
      </c>
      <c r="C233" t="s">
        <v>335</v>
      </c>
      <c r="D233" s="5" t="str">
        <f t="shared" ref="D233:D235" si="50">F233&amp;"-"&amp;3</f>
        <v>37-3</v>
      </c>
      <c r="E233" t="s">
        <v>313</v>
      </c>
      <c r="F233">
        <v>37</v>
      </c>
      <c r="G233">
        <v>13960</v>
      </c>
      <c r="H233">
        <v>14629</v>
      </c>
      <c r="I233">
        <v>575</v>
      </c>
      <c r="J233">
        <v>638</v>
      </c>
      <c r="AC233">
        <f t="shared" si="33"/>
        <v>28589</v>
      </c>
      <c r="AD233">
        <f t="shared" si="34"/>
        <v>1213</v>
      </c>
      <c r="AE233">
        <f t="shared" si="35"/>
        <v>1213</v>
      </c>
      <c r="AF233">
        <f t="shared" si="36"/>
        <v>0</v>
      </c>
      <c r="AG233">
        <f t="shared" si="37"/>
        <v>4.2428906222673056E-2</v>
      </c>
      <c r="AH233">
        <f t="shared" si="38"/>
        <v>0</v>
      </c>
      <c r="AI233">
        <f t="shared" si="8"/>
        <v>0</v>
      </c>
      <c r="AJ233">
        <f t="shared" si="9"/>
        <v>4.070196631098584E-2</v>
      </c>
      <c r="AK233">
        <v>14535</v>
      </c>
      <c r="AL233">
        <v>15267</v>
      </c>
      <c r="AM233">
        <v>29802</v>
      </c>
      <c r="AN233" t="s">
        <v>43</v>
      </c>
      <c r="AO233">
        <v>0</v>
      </c>
    </row>
    <row r="234" spans="1:41" x14ac:dyDescent="0.2">
      <c r="A234" t="s">
        <v>336</v>
      </c>
      <c r="B234" s="4" t="str">
        <f t="shared" si="46"/>
        <v>37-3-2</v>
      </c>
      <c r="C234" t="s">
        <v>335</v>
      </c>
      <c r="D234" s="5" t="str">
        <f t="shared" si="50"/>
        <v>37-3</v>
      </c>
      <c r="E234" t="s">
        <v>313</v>
      </c>
      <c r="F234">
        <v>37</v>
      </c>
      <c r="G234">
        <v>20132</v>
      </c>
      <c r="H234">
        <v>22549</v>
      </c>
      <c r="I234">
        <v>22</v>
      </c>
      <c r="J234">
        <v>62</v>
      </c>
      <c r="Y234">
        <v>864</v>
      </c>
      <c r="Z234">
        <v>935</v>
      </c>
      <c r="AC234">
        <f t="shared" si="33"/>
        <v>42681</v>
      </c>
      <c r="AD234">
        <f t="shared" si="34"/>
        <v>84</v>
      </c>
      <c r="AE234">
        <f t="shared" si="35"/>
        <v>84</v>
      </c>
      <c r="AF234">
        <f t="shared" si="36"/>
        <v>0</v>
      </c>
      <c r="AG234">
        <f t="shared" si="37"/>
        <v>1.968088845153581E-3</v>
      </c>
      <c r="AH234">
        <f t="shared" si="38"/>
        <v>0</v>
      </c>
      <c r="AI234">
        <f t="shared" si="8"/>
        <v>0</v>
      </c>
      <c r="AJ234">
        <f t="shared" si="9"/>
        <v>1.884929539538641E-3</v>
      </c>
      <c r="AK234">
        <v>21018</v>
      </c>
      <c r="AL234">
        <v>23546</v>
      </c>
      <c r="AM234">
        <v>44564</v>
      </c>
      <c r="AN234" t="s">
        <v>43</v>
      </c>
      <c r="AO234">
        <v>0</v>
      </c>
    </row>
    <row r="235" spans="1:41" x14ac:dyDescent="0.2">
      <c r="A235" t="s">
        <v>337</v>
      </c>
      <c r="B235" s="4" t="str">
        <f t="shared" si="46"/>
        <v>37-3-3</v>
      </c>
      <c r="C235" t="s">
        <v>335</v>
      </c>
      <c r="D235" s="5" t="str">
        <f t="shared" si="50"/>
        <v>37-3</v>
      </c>
      <c r="E235" t="s">
        <v>313</v>
      </c>
      <c r="F235">
        <v>37</v>
      </c>
      <c r="G235">
        <v>19519</v>
      </c>
      <c r="H235">
        <v>20735</v>
      </c>
      <c r="I235">
        <v>2048</v>
      </c>
      <c r="J235">
        <v>2015</v>
      </c>
      <c r="K235">
        <v>123</v>
      </c>
      <c r="L235">
        <v>150</v>
      </c>
      <c r="Y235">
        <v>30</v>
      </c>
      <c r="Z235">
        <v>36</v>
      </c>
      <c r="AC235">
        <f t="shared" si="33"/>
        <v>40254</v>
      </c>
      <c r="AD235">
        <f t="shared" si="34"/>
        <v>4336</v>
      </c>
      <c r="AE235">
        <f t="shared" si="35"/>
        <v>4336</v>
      </c>
      <c r="AF235">
        <f t="shared" si="36"/>
        <v>273</v>
      </c>
      <c r="AG235">
        <f t="shared" si="37"/>
        <v>0.10771600337854623</v>
      </c>
      <c r="AH235">
        <f t="shared" si="38"/>
        <v>6.781934714562528E-3</v>
      </c>
      <c r="AI235">
        <f t="shared" si="8"/>
        <v>6.1134002149767106E-3</v>
      </c>
      <c r="AJ235">
        <f t="shared" si="9"/>
        <v>9.7097814403439633E-2</v>
      </c>
      <c r="AK235">
        <v>21720</v>
      </c>
      <c r="AL235">
        <v>22936</v>
      </c>
      <c r="AM235">
        <v>44656</v>
      </c>
      <c r="AN235" t="s">
        <v>43</v>
      </c>
      <c r="AO235" s="6">
        <v>1</v>
      </c>
    </row>
    <row r="236" spans="1:41" x14ac:dyDescent="0.2">
      <c r="A236" t="s">
        <v>338</v>
      </c>
      <c r="B236" s="4" t="str">
        <f t="shared" si="46"/>
        <v>42-4-1</v>
      </c>
      <c r="C236" t="s">
        <v>339</v>
      </c>
      <c r="D236" s="5" t="str">
        <f t="shared" ref="D236:D237" si="51">F236&amp;"-"&amp;4</f>
        <v>42-4</v>
      </c>
      <c r="E236" t="s">
        <v>340</v>
      </c>
      <c r="F236">
        <v>42</v>
      </c>
      <c r="G236">
        <v>18766</v>
      </c>
      <c r="H236">
        <v>18447</v>
      </c>
      <c r="I236">
        <v>874</v>
      </c>
      <c r="J236">
        <v>880</v>
      </c>
      <c r="K236">
        <v>409</v>
      </c>
      <c r="L236">
        <v>401</v>
      </c>
      <c r="AC236">
        <f t="shared" si="33"/>
        <v>37213</v>
      </c>
      <c r="AD236">
        <f t="shared" si="34"/>
        <v>2564</v>
      </c>
      <c r="AE236">
        <f t="shared" si="35"/>
        <v>2564</v>
      </c>
      <c r="AF236">
        <f t="shared" si="36"/>
        <v>810</v>
      </c>
      <c r="AG236">
        <f t="shared" si="37"/>
        <v>6.8900652997608364E-2</v>
      </c>
      <c r="AH236">
        <f t="shared" si="38"/>
        <v>2.1766586945422297E-2</v>
      </c>
      <c r="AI236">
        <f t="shared" si="8"/>
        <v>2.0384024964139217E-2</v>
      </c>
      <c r="AJ236">
        <f t="shared" si="9"/>
        <v>6.4524246923522155E-2</v>
      </c>
      <c r="AK236">
        <v>20049</v>
      </c>
      <c r="AL236">
        <v>19728</v>
      </c>
      <c r="AM236">
        <v>39737</v>
      </c>
      <c r="AN236" t="s">
        <v>43</v>
      </c>
      <c r="AO236" s="6">
        <v>1</v>
      </c>
    </row>
    <row r="237" spans="1:41" x14ac:dyDescent="0.2">
      <c r="A237" t="s">
        <v>341</v>
      </c>
      <c r="B237" s="4" t="str">
        <f t="shared" si="46"/>
        <v>42-4-2</v>
      </c>
      <c r="C237" t="s">
        <v>339</v>
      </c>
      <c r="D237" s="5" t="str">
        <f t="shared" si="51"/>
        <v>42-4</v>
      </c>
      <c r="E237" t="s">
        <v>340</v>
      </c>
      <c r="F237">
        <v>42</v>
      </c>
      <c r="G237">
        <v>8363</v>
      </c>
      <c r="H237">
        <v>9424</v>
      </c>
      <c r="AC237">
        <f t="shared" si="33"/>
        <v>17787</v>
      </c>
      <c r="AD237">
        <f t="shared" si="34"/>
        <v>0</v>
      </c>
      <c r="AE237">
        <f t="shared" si="35"/>
        <v>0</v>
      </c>
      <c r="AF237">
        <f t="shared" si="36"/>
        <v>0</v>
      </c>
      <c r="AG237">
        <f t="shared" si="37"/>
        <v>0</v>
      </c>
      <c r="AH237">
        <f t="shared" si="38"/>
        <v>0</v>
      </c>
      <c r="AI237">
        <f t="shared" si="8"/>
        <v>0</v>
      </c>
      <c r="AJ237">
        <f t="shared" si="9"/>
        <v>0</v>
      </c>
      <c r="AK237">
        <v>8363</v>
      </c>
      <c r="AL237">
        <v>9424</v>
      </c>
      <c r="AM237">
        <v>17787</v>
      </c>
      <c r="AN237" t="s">
        <v>43</v>
      </c>
      <c r="AO237">
        <v>0</v>
      </c>
    </row>
    <row r="238" spans="1:41" x14ac:dyDescent="0.2">
      <c r="A238" t="s">
        <v>342</v>
      </c>
      <c r="B238" s="4" t="str">
        <f t="shared" si="46"/>
        <v>42-2-1</v>
      </c>
      <c r="C238" t="s">
        <v>343</v>
      </c>
      <c r="D238" s="5" t="str">
        <f t="shared" ref="D238:D242" si="52">F238&amp;"-"&amp;2</f>
        <v>42-2</v>
      </c>
      <c r="E238" t="s">
        <v>340</v>
      </c>
      <c r="F238">
        <v>42</v>
      </c>
      <c r="G238">
        <v>9803</v>
      </c>
      <c r="H238">
        <v>9884</v>
      </c>
      <c r="I238">
        <v>678</v>
      </c>
      <c r="J238">
        <v>657</v>
      </c>
      <c r="AC238">
        <f t="shared" si="33"/>
        <v>19687</v>
      </c>
      <c r="AD238">
        <f t="shared" si="34"/>
        <v>1335</v>
      </c>
      <c r="AE238">
        <f t="shared" si="35"/>
        <v>1335</v>
      </c>
      <c r="AF238">
        <f t="shared" si="36"/>
        <v>0</v>
      </c>
      <c r="AG238">
        <f t="shared" si="37"/>
        <v>6.7811245999898406E-2</v>
      </c>
      <c r="AH238">
        <f t="shared" si="38"/>
        <v>0</v>
      </c>
      <c r="AI238">
        <f t="shared" si="8"/>
        <v>0</v>
      </c>
      <c r="AJ238">
        <f t="shared" si="9"/>
        <v>6.3504899628960138E-2</v>
      </c>
      <c r="AK238">
        <v>10481</v>
      </c>
      <c r="AL238">
        <v>10541</v>
      </c>
      <c r="AM238">
        <v>21022</v>
      </c>
      <c r="AN238" t="s">
        <v>43</v>
      </c>
      <c r="AO238">
        <v>0</v>
      </c>
    </row>
    <row r="239" spans="1:41" x14ac:dyDescent="0.2">
      <c r="A239" t="s">
        <v>344</v>
      </c>
      <c r="B239" s="4" t="str">
        <f t="shared" si="46"/>
        <v>42-2-2</v>
      </c>
      <c r="C239" t="s">
        <v>343</v>
      </c>
      <c r="D239" s="5" t="str">
        <f t="shared" si="52"/>
        <v>42-2</v>
      </c>
      <c r="E239" t="s">
        <v>340</v>
      </c>
      <c r="F239">
        <v>42</v>
      </c>
      <c r="G239">
        <v>21878</v>
      </c>
      <c r="H239">
        <v>21683</v>
      </c>
      <c r="I239">
        <v>2265</v>
      </c>
      <c r="J239">
        <v>2259</v>
      </c>
      <c r="K239">
        <v>300</v>
      </c>
      <c r="L239">
        <v>319</v>
      </c>
      <c r="AC239">
        <f t="shared" si="33"/>
        <v>43561</v>
      </c>
      <c r="AD239">
        <f t="shared" si="34"/>
        <v>5143</v>
      </c>
      <c r="AE239">
        <f t="shared" si="35"/>
        <v>5143</v>
      </c>
      <c r="AF239">
        <f t="shared" si="36"/>
        <v>619</v>
      </c>
      <c r="AG239">
        <f t="shared" si="37"/>
        <v>0.11806432359220403</v>
      </c>
      <c r="AH239">
        <f t="shared" si="38"/>
        <v>1.4209958449071417E-2</v>
      </c>
      <c r="AI239">
        <f t="shared" si="8"/>
        <v>1.2709428383705651E-2</v>
      </c>
      <c r="AJ239">
        <f t="shared" si="9"/>
        <v>0.10559707621550592</v>
      </c>
      <c r="AK239">
        <v>24443</v>
      </c>
      <c r="AL239">
        <v>24261</v>
      </c>
      <c r="AM239">
        <v>48704</v>
      </c>
      <c r="AN239" t="s">
        <v>43</v>
      </c>
      <c r="AO239" s="6">
        <v>1</v>
      </c>
    </row>
    <row r="240" spans="1:41" x14ac:dyDescent="0.2">
      <c r="A240" t="s">
        <v>345</v>
      </c>
      <c r="B240" s="4" t="str">
        <f t="shared" si="46"/>
        <v>42-2-3</v>
      </c>
      <c r="C240" t="s">
        <v>343</v>
      </c>
      <c r="D240" s="5" t="str">
        <f t="shared" si="52"/>
        <v>42-2</v>
      </c>
      <c r="E240" t="s">
        <v>340</v>
      </c>
      <c r="F240">
        <v>42</v>
      </c>
      <c r="G240">
        <v>10203</v>
      </c>
      <c r="H240">
        <v>9974</v>
      </c>
      <c r="AC240">
        <f t="shared" si="33"/>
        <v>20177</v>
      </c>
      <c r="AD240">
        <f t="shared" si="34"/>
        <v>0</v>
      </c>
      <c r="AE240">
        <f t="shared" si="35"/>
        <v>0</v>
      </c>
      <c r="AF240">
        <f t="shared" si="36"/>
        <v>0</v>
      </c>
      <c r="AG240">
        <f t="shared" si="37"/>
        <v>0</v>
      </c>
      <c r="AH240">
        <f t="shared" si="38"/>
        <v>0</v>
      </c>
      <c r="AI240">
        <f t="shared" si="8"/>
        <v>0</v>
      </c>
      <c r="AJ240">
        <f t="shared" si="9"/>
        <v>0</v>
      </c>
      <c r="AK240">
        <v>10203</v>
      </c>
      <c r="AL240">
        <v>9974</v>
      </c>
      <c r="AM240">
        <v>20177</v>
      </c>
      <c r="AN240" t="s">
        <v>43</v>
      </c>
      <c r="AO240">
        <v>0</v>
      </c>
    </row>
    <row r="241" spans="1:41" x14ac:dyDescent="0.2">
      <c r="A241" t="s">
        <v>346</v>
      </c>
      <c r="B241" s="4" t="str">
        <f t="shared" si="46"/>
        <v>42-2-4</v>
      </c>
      <c r="C241" t="s">
        <v>343</v>
      </c>
      <c r="D241" s="5" t="str">
        <f t="shared" si="52"/>
        <v>42-2</v>
      </c>
      <c r="E241" t="s">
        <v>340</v>
      </c>
      <c r="F241">
        <v>42</v>
      </c>
      <c r="G241">
        <v>7636</v>
      </c>
      <c r="H241">
        <v>6597</v>
      </c>
      <c r="I241">
        <v>429</v>
      </c>
      <c r="J241">
        <v>392</v>
      </c>
      <c r="AC241">
        <f t="shared" si="33"/>
        <v>14233</v>
      </c>
      <c r="AD241">
        <f t="shared" si="34"/>
        <v>821</v>
      </c>
      <c r="AE241">
        <f t="shared" si="35"/>
        <v>821</v>
      </c>
      <c r="AF241">
        <f t="shared" si="36"/>
        <v>0</v>
      </c>
      <c r="AG241">
        <f t="shared" si="37"/>
        <v>5.7682849715450013E-2</v>
      </c>
      <c r="AH241">
        <f t="shared" si="38"/>
        <v>0</v>
      </c>
      <c r="AI241">
        <f t="shared" si="8"/>
        <v>0</v>
      </c>
      <c r="AJ241">
        <f t="shared" si="9"/>
        <v>5.4537000132855055E-2</v>
      </c>
      <c r="AK241">
        <v>8065</v>
      </c>
      <c r="AL241">
        <v>6989</v>
      </c>
      <c r="AM241">
        <v>15054</v>
      </c>
      <c r="AN241" t="s">
        <v>43</v>
      </c>
      <c r="AO241">
        <v>0</v>
      </c>
    </row>
    <row r="242" spans="1:41" x14ac:dyDescent="0.2">
      <c r="A242" t="s">
        <v>347</v>
      </c>
      <c r="B242" s="4" t="str">
        <f t="shared" si="46"/>
        <v>42-2-5</v>
      </c>
      <c r="C242" t="s">
        <v>343</v>
      </c>
      <c r="D242" s="5" t="str">
        <f t="shared" si="52"/>
        <v>42-2</v>
      </c>
      <c r="E242" t="s">
        <v>340</v>
      </c>
      <c r="F242">
        <v>42</v>
      </c>
      <c r="G242">
        <v>12919</v>
      </c>
      <c r="H242">
        <v>12720</v>
      </c>
      <c r="AC242">
        <f t="shared" si="33"/>
        <v>25639</v>
      </c>
      <c r="AD242">
        <f t="shared" si="34"/>
        <v>0</v>
      </c>
      <c r="AE242">
        <f t="shared" si="35"/>
        <v>0</v>
      </c>
      <c r="AF242">
        <f t="shared" si="36"/>
        <v>0</v>
      </c>
      <c r="AG242">
        <f t="shared" si="37"/>
        <v>0</v>
      </c>
      <c r="AH242">
        <f t="shared" si="38"/>
        <v>0</v>
      </c>
      <c r="AI242">
        <f t="shared" si="8"/>
        <v>0</v>
      </c>
      <c r="AJ242">
        <f t="shared" si="9"/>
        <v>0</v>
      </c>
      <c r="AK242">
        <v>12919</v>
      </c>
      <c r="AL242">
        <v>12720</v>
      </c>
      <c r="AM242">
        <v>25639</v>
      </c>
      <c r="AN242" t="s">
        <v>43</v>
      </c>
      <c r="AO242">
        <v>0</v>
      </c>
    </row>
    <row r="243" spans="1:41" x14ac:dyDescent="0.2">
      <c r="A243" t="s">
        <v>348</v>
      </c>
      <c r="B243" s="4" t="str">
        <f t="shared" si="46"/>
        <v>42-1-1</v>
      </c>
      <c r="C243" t="s">
        <v>349</v>
      </c>
      <c r="D243" s="5" t="str">
        <f t="shared" ref="D243:D253" si="53">F243&amp;"-"&amp;1</f>
        <v>42-1</v>
      </c>
      <c r="E243" t="s">
        <v>340</v>
      </c>
      <c r="F243">
        <v>42</v>
      </c>
      <c r="G243">
        <v>21158</v>
      </c>
      <c r="H243">
        <v>22107</v>
      </c>
      <c r="I243">
        <v>872</v>
      </c>
      <c r="J243">
        <v>839</v>
      </c>
      <c r="K243">
        <v>1582</v>
      </c>
      <c r="L243">
        <v>1552</v>
      </c>
      <c r="O243">
        <v>9</v>
      </c>
      <c r="P243">
        <v>28</v>
      </c>
      <c r="S243">
        <v>22</v>
      </c>
      <c r="T243">
        <v>19</v>
      </c>
      <c r="AC243">
        <f t="shared" si="33"/>
        <v>43265</v>
      </c>
      <c r="AD243">
        <f t="shared" si="34"/>
        <v>4923</v>
      </c>
      <c r="AE243">
        <f t="shared" si="35"/>
        <v>4923</v>
      </c>
      <c r="AF243">
        <f t="shared" si="36"/>
        <v>3134</v>
      </c>
      <c r="AG243">
        <f t="shared" si="37"/>
        <v>0.11378712585230556</v>
      </c>
      <c r="AH243">
        <f t="shared" si="38"/>
        <v>7.2437304980931469E-2</v>
      </c>
      <c r="AI243">
        <f t="shared" si="8"/>
        <v>6.508691408278125E-2</v>
      </c>
      <c r="AJ243">
        <f t="shared" si="9"/>
        <v>0.10224086727170775</v>
      </c>
      <c r="AK243">
        <v>23634</v>
      </c>
      <c r="AL243">
        <v>24517</v>
      </c>
      <c r="AM243">
        <v>48151</v>
      </c>
      <c r="AN243" t="s">
        <v>43</v>
      </c>
      <c r="AO243">
        <v>0</v>
      </c>
    </row>
    <row r="244" spans="1:41" x14ac:dyDescent="0.2">
      <c r="A244" t="s">
        <v>350</v>
      </c>
      <c r="B244" s="4" t="str">
        <f t="shared" si="46"/>
        <v>42-1-2</v>
      </c>
      <c r="C244" t="s">
        <v>349</v>
      </c>
      <c r="D244" s="5" t="str">
        <f t="shared" si="53"/>
        <v>42-1</v>
      </c>
      <c r="E244" t="s">
        <v>340</v>
      </c>
      <c r="F244">
        <v>42</v>
      </c>
      <c r="G244">
        <v>17702</v>
      </c>
      <c r="H244">
        <v>17621</v>
      </c>
      <c r="I244">
        <v>96</v>
      </c>
      <c r="J244">
        <v>57</v>
      </c>
      <c r="AC244">
        <f t="shared" si="33"/>
        <v>35323</v>
      </c>
      <c r="AD244">
        <f t="shared" si="34"/>
        <v>153</v>
      </c>
      <c r="AE244">
        <f t="shared" si="35"/>
        <v>153</v>
      </c>
      <c r="AF244">
        <f t="shared" si="36"/>
        <v>0</v>
      </c>
      <c r="AG244">
        <f t="shared" si="37"/>
        <v>4.3314554256433484E-3</v>
      </c>
      <c r="AH244">
        <f t="shared" si="38"/>
        <v>0</v>
      </c>
      <c r="AI244">
        <f t="shared" si="8"/>
        <v>0</v>
      </c>
      <c r="AJ244">
        <f t="shared" si="9"/>
        <v>4.3127748336903825E-3</v>
      </c>
      <c r="AK244">
        <v>17798</v>
      </c>
      <c r="AL244">
        <v>17678</v>
      </c>
      <c r="AM244">
        <v>35476</v>
      </c>
      <c r="AN244" t="s">
        <v>43</v>
      </c>
      <c r="AO244">
        <v>0</v>
      </c>
    </row>
    <row r="245" spans="1:41" x14ac:dyDescent="0.2">
      <c r="A245" t="s">
        <v>351</v>
      </c>
      <c r="B245" s="4" t="str">
        <f t="shared" si="46"/>
        <v>42-1-3</v>
      </c>
      <c r="C245" t="s">
        <v>349</v>
      </c>
      <c r="D245" s="5" t="str">
        <f t="shared" si="53"/>
        <v>42-1</v>
      </c>
      <c r="E245" t="s">
        <v>340</v>
      </c>
      <c r="F245">
        <v>42</v>
      </c>
      <c r="G245">
        <v>18369</v>
      </c>
      <c r="H245">
        <v>19100</v>
      </c>
      <c r="I245">
        <v>44</v>
      </c>
      <c r="J245">
        <v>50</v>
      </c>
      <c r="AC245">
        <f t="shared" si="33"/>
        <v>37469</v>
      </c>
      <c r="AD245">
        <f t="shared" si="34"/>
        <v>94</v>
      </c>
      <c r="AE245">
        <f t="shared" si="35"/>
        <v>94</v>
      </c>
      <c r="AF245">
        <f t="shared" si="36"/>
        <v>0</v>
      </c>
      <c r="AG245">
        <f t="shared" si="37"/>
        <v>2.5087405588619925E-3</v>
      </c>
      <c r="AH245">
        <f t="shared" si="38"/>
        <v>0</v>
      </c>
      <c r="AI245">
        <f t="shared" si="8"/>
        <v>0</v>
      </c>
      <c r="AJ245">
        <f t="shared" si="9"/>
        <v>2.5024625296169102E-3</v>
      </c>
      <c r="AK245">
        <v>18413</v>
      </c>
      <c r="AL245">
        <v>19150</v>
      </c>
      <c r="AM245">
        <v>37563</v>
      </c>
      <c r="AN245" t="s">
        <v>43</v>
      </c>
      <c r="AO245">
        <v>0</v>
      </c>
    </row>
    <row r="246" spans="1:41" x14ac:dyDescent="0.2">
      <c r="A246" t="s">
        <v>352</v>
      </c>
      <c r="B246" s="4" t="str">
        <f t="shared" si="46"/>
        <v>42-1-4</v>
      </c>
      <c r="C246" t="s">
        <v>349</v>
      </c>
      <c r="D246" s="5" t="str">
        <f t="shared" si="53"/>
        <v>42-1</v>
      </c>
      <c r="E246" t="s">
        <v>340</v>
      </c>
      <c r="F246">
        <v>42</v>
      </c>
      <c r="G246">
        <v>11682</v>
      </c>
      <c r="H246">
        <v>12348</v>
      </c>
      <c r="I246">
        <v>87</v>
      </c>
      <c r="J246">
        <v>80</v>
      </c>
      <c r="K246">
        <v>221</v>
      </c>
      <c r="L246">
        <v>220</v>
      </c>
      <c r="AC246">
        <f t="shared" si="33"/>
        <v>24030</v>
      </c>
      <c r="AD246">
        <f t="shared" si="34"/>
        <v>608</v>
      </c>
      <c r="AE246">
        <f t="shared" si="35"/>
        <v>608</v>
      </c>
      <c r="AF246">
        <f t="shared" si="36"/>
        <v>441</v>
      </c>
      <c r="AG246">
        <f t="shared" si="37"/>
        <v>2.5301706200582606E-2</v>
      </c>
      <c r="AH246">
        <f t="shared" si="38"/>
        <v>1.8352059925093634E-2</v>
      </c>
      <c r="AI246">
        <f t="shared" si="8"/>
        <v>1.7893370120912116E-2</v>
      </c>
      <c r="AJ246">
        <f t="shared" si="9"/>
        <v>2.4669317536314208E-2</v>
      </c>
      <c r="AK246">
        <v>11996</v>
      </c>
      <c r="AL246">
        <v>12650</v>
      </c>
      <c r="AM246">
        <v>24646</v>
      </c>
      <c r="AN246" t="s">
        <v>43</v>
      </c>
      <c r="AO246">
        <v>0</v>
      </c>
    </row>
    <row r="247" spans="1:41" x14ac:dyDescent="0.2">
      <c r="A247" t="s">
        <v>353</v>
      </c>
      <c r="B247" s="4" t="str">
        <f t="shared" si="46"/>
        <v>42-1-5</v>
      </c>
      <c r="C247" t="s">
        <v>349</v>
      </c>
      <c r="D247" s="5" t="str">
        <f t="shared" si="53"/>
        <v>42-1</v>
      </c>
      <c r="E247" t="s">
        <v>340</v>
      </c>
      <c r="F247">
        <v>42</v>
      </c>
      <c r="G247">
        <v>5637</v>
      </c>
      <c r="H247">
        <v>6026</v>
      </c>
      <c r="AC247">
        <f t="shared" si="33"/>
        <v>11663</v>
      </c>
      <c r="AD247">
        <f t="shared" si="34"/>
        <v>0</v>
      </c>
      <c r="AE247">
        <f t="shared" si="35"/>
        <v>0</v>
      </c>
      <c r="AF247">
        <f t="shared" si="36"/>
        <v>0</v>
      </c>
      <c r="AG247">
        <f t="shared" si="37"/>
        <v>0</v>
      </c>
      <c r="AH247">
        <f t="shared" si="38"/>
        <v>0</v>
      </c>
      <c r="AI247">
        <f t="shared" si="8"/>
        <v>0</v>
      </c>
      <c r="AJ247">
        <f t="shared" si="9"/>
        <v>0</v>
      </c>
      <c r="AK247">
        <v>5637</v>
      </c>
      <c r="AL247">
        <v>6026</v>
      </c>
      <c r="AM247">
        <v>11663</v>
      </c>
      <c r="AN247" t="s">
        <v>43</v>
      </c>
      <c r="AO247">
        <v>0</v>
      </c>
    </row>
    <row r="248" spans="1:41" x14ac:dyDescent="0.2">
      <c r="A248" t="s">
        <v>354</v>
      </c>
      <c r="B248" s="4" t="str">
        <f t="shared" si="46"/>
        <v>42-1-6</v>
      </c>
      <c r="C248" t="s">
        <v>349</v>
      </c>
      <c r="D248" s="5" t="str">
        <f t="shared" si="53"/>
        <v>42-1</v>
      </c>
      <c r="E248" t="s">
        <v>340</v>
      </c>
      <c r="F248">
        <v>42</v>
      </c>
      <c r="G248">
        <v>10943</v>
      </c>
      <c r="H248">
        <v>11128</v>
      </c>
      <c r="I248">
        <v>12</v>
      </c>
      <c r="J248">
        <v>43</v>
      </c>
      <c r="AC248">
        <f t="shared" si="33"/>
        <v>22071</v>
      </c>
      <c r="AD248">
        <f t="shared" si="34"/>
        <v>55</v>
      </c>
      <c r="AE248">
        <f t="shared" si="35"/>
        <v>55</v>
      </c>
      <c r="AF248">
        <f t="shared" si="36"/>
        <v>0</v>
      </c>
      <c r="AG248">
        <f t="shared" si="37"/>
        <v>2.4919577726428346E-3</v>
      </c>
      <c r="AH248">
        <f t="shared" si="38"/>
        <v>0</v>
      </c>
      <c r="AI248">
        <f t="shared" si="8"/>
        <v>0</v>
      </c>
      <c r="AJ248">
        <f t="shared" si="9"/>
        <v>2.4857633553285728E-3</v>
      </c>
      <c r="AK248">
        <v>10955</v>
      </c>
      <c r="AL248">
        <v>11171</v>
      </c>
      <c r="AM248">
        <v>22126</v>
      </c>
      <c r="AN248" t="s">
        <v>43</v>
      </c>
      <c r="AO248">
        <v>0</v>
      </c>
    </row>
    <row r="249" spans="1:41" x14ac:dyDescent="0.2">
      <c r="A249" t="s">
        <v>355</v>
      </c>
      <c r="B249" s="4" t="str">
        <f t="shared" si="46"/>
        <v>42-1-7</v>
      </c>
      <c r="C249" t="s">
        <v>349</v>
      </c>
      <c r="D249" s="5" t="str">
        <f t="shared" si="53"/>
        <v>42-1</v>
      </c>
      <c r="E249" t="s">
        <v>340</v>
      </c>
      <c r="F249">
        <v>42</v>
      </c>
      <c r="G249">
        <v>18223</v>
      </c>
      <c r="H249">
        <v>18504</v>
      </c>
      <c r="I249">
        <v>60</v>
      </c>
      <c r="J249">
        <v>64</v>
      </c>
      <c r="K249">
        <v>287</v>
      </c>
      <c r="L249">
        <v>316</v>
      </c>
      <c r="AC249">
        <f t="shared" si="33"/>
        <v>36727</v>
      </c>
      <c r="AD249">
        <f t="shared" si="34"/>
        <v>727</v>
      </c>
      <c r="AE249">
        <f t="shared" si="35"/>
        <v>727</v>
      </c>
      <c r="AF249">
        <f t="shared" si="36"/>
        <v>603</v>
      </c>
      <c r="AG249">
        <f t="shared" si="37"/>
        <v>1.9794701445802816E-2</v>
      </c>
      <c r="AH249">
        <f t="shared" si="38"/>
        <v>1.6418438750782804E-2</v>
      </c>
      <c r="AI249">
        <f t="shared" si="8"/>
        <v>1.6099749025471243E-2</v>
      </c>
      <c r="AJ249">
        <f t="shared" si="9"/>
        <v>1.9410476851604633E-2</v>
      </c>
      <c r="AK249">
        <v>18570</v>
      </c>
      <c r="AL249">
        <v>18884</v>
      </c>
      <c r="AM249">
        <v>37454</v>
      </c>
      <c r="AN249" t="s">
        <v>43</v>
      </c>
      <c r="AO249">
        <v>0</v>
      </c>
    </row>
    <row r="250" spans="1:41" x14ac:dyDescent="0.2">
      <c r="A250" t="s">
        <v>356</v>
      </c>
      <c r="B250" s="4" t="str">
        <f t="shared" si="46"/>
        <v>42-1-8</v>
      </c>
      <c r="C250" t="s">
        <v>349</v>
      </c>
      <c r="D250" s="5" t="str">
        <f t="shared" si="53"/>
        <v>42-1</v>
      </c>
      <c r="E250" t="s">
        <v>340</v>
      </c>
      <c r="F250">
        <v>42</v>
      </c>
      <c r="G250">
        <v>8214</v>
      </c>
      <c r="H250">
        <v>8024</v>
      </c>
      <c r="O250">
        <v>6</v>
      </c>
      <c r="P250">
        <v>2</v>
      </c>
      <c r="AC250">
        <f t="shared" si="33"/>
        <v>16238</v>
      </c>
      <c r="AD250">
        <f t="shared" si="34"/>
        <v>8</v>
      </c>
      <c r="AE250">
        <f t="shared" si="35"/>
        <v>8</v>
      </c>
      <c r="AF250">
        <f t="shared" si="36"/>
        <v>0</v>
      </c>
      <c r="AG250">
        <f t="shared" si="37"/>
        <v>4.9267151126986084E-4</v>
      </c>
      <c r="AH250">
        <f t="shared" si="38"/>
        <v>0</v>
      </c>
      <c r="AI250">
        <f t="shared" si="8"/>
        <v>0</v>
      </c>
      <c r="AJ250">
        <f t="shared" si="9"/>
        <v>4.9267151126986084E-4</v>
      </c>
      <c r="AK250">
        <v>8214</v>
      </c>
      <c r="AL250">
        <v>8024</v>
      </c>
      <c r="AM250">
        <v>16238</v>
      </c>
      <c r="AN250" t="s">
        <v>43</v>
      </c>
      <c r="AO250">
        <v>0</v>
      </c>
    </row>
    <row r="251" spans="1:41" x14ac:dyDescent="0.2">
      <c r="A251" t="s">
        <v>357</v>
      </c>
      <c r="B251" s="4" t="str">
        <f t="shared" si="46"/>
        <v>42-1-9</v>
      </c>
      <c r="C251" t="s">
        <v>349</v>
      </c>
      <c r="D251" s="5" t="str">
        <f t="shared" si="53"/>
        <v>42-1</v>
      </c>
      <c r="E251" t="s">
        <v>340</v>
      </c>
      <c r="F251">
        <v>42</v>
      </c>
      <c r="G251">
        <v>8770</v>
      </c>
      <c r="H251">
        <v>11857</v>
      </c>
      <c r="J251">
        <v>9</v>
      </c>
      <c r="L251">
        <v>3</v>
      </c>
      <c r="AC251">
        <f t="shared" si="33"/>
        <v>20627</v>
      </c>
      <c r="AD251">
        <f t="shared" si="34"/>
        <v>12</v>
      </c>
      <c r="AE251">
        <f t="shared" si="35"/>
        <v>12</v>
      </c>
      <c r="AF251">
        <f t="shared" si="36"/>
        <v>3</v>
      </c>
      <c r="AG251">
        <f t="shared" si="37"/>
        <v>5.817617685557764E-4</v>
      </c>
      <c r="AH251">
        <f t="shared" si="38"/>
        <v>1.454404421389441E-4</v>
      </c>
      <c r="AI251">
        <f t="shared" si="8"/>
        <v>1.4535587964533165E-4</v>
      </c>
      <c r="AJ251">
        <f t="shared" si="9"/>
        <v>5.8142351858132661E-4</v>
      </c>
      <c r="AK251">
        <v>8770</v>
      </c>
      <c r="AL251">
        <v>11869</v>
      </c>
      <c r="AM251">
        <v>20639</v>
      </c>
      <c r="AN251" t="s">
        <v>43</v>
      </c>
      <c r="AO251">
        <v>0</v>
      </c>
    </row>
    <row r="252" spans="1:41" x14ac:dyDescent="0.2">
      <c r="A252" t="s">
        <v>358</v>
      </c>
      <c r="B252" s="4" t="str">
        <f t="shared" si="46"/>
        <v>42-1-10</v>
      </c>
      <c r="C252" t="s">
        <v>349</v>
      </c>
      <c r="D252" s="5" t="str">
        <f t="shared" si="53"/>
        <v>42-1</v>
      </c>
      <c r="E252" t="s">
        <v>340</v>
      </c>
      <c r="F252">
        <v>42</v>
      </c>
      <c r="G252">
        <v>46348</v>
      </c>
      <c r="H252">
        <v>46468</v>
      </c>
      <c r="I252">
        <v>2150</v>
      </c>
      <c r="J252">
        <v>1866</v>
      </c>
      <c r="K252">
        <v>760</v>
      </c>
      <c r="L252">
        <v>806</v>
      </c>
      <c r="AC252">
        <f t="shared" si="33"/>
        <v>92816</v>
      </c>
      <c r="AD252">
        <f t="shared" si="34"/>
        <v>5582</v>
      </c>
      <c r="AE252">
        <f t="shared" si="35"/>
        <v>5582</v>
      </c>
      <c r="AF252">
        <f t="shared" si="36"/>
        <v>1566</v>
      </c>
      <c r="AG252">
        <f t="shared" si="37"/>
        <v>6.0140493018445096E-2</v>
      </c>
      <c r="AH252">
        <f t="shared" si="38"/>
        <v>1.6872091018789864E-2</v>
      </c>
      <c r="AI252">
        <f t="shared" si="8"/>
        <v>1.5908975466043581E-2</v>
      </c>
      <c r="AJ252">
        <f t="shared" si="9"/>
        <v>5.6707471935795194E-2</v>
      </c>
      <c r="AK252">
        <v>49267</v>
      </c>
      <c r="AL252">
        <v>49168</v>
      </c>
      <c r="AM252">
        <v>98435</v>
      </c>
      <c r="AN252" t="s">
        <v>43</v>
      </c>
      <c r="AO252" s="6">
        <v>1</v>
      </c>
    </row>
    <row r="253" spans="1:41" x14ac:dyDescent="0.2">
      <c r="A253" t="s">
        <v>359</v>
      </c>
      <c r="B253" s="4" t="str">
        <f t="shared" si="46"/>
        <v>42-1-11</v>
      </c>
      <c r="C253" t="s">
        <v>349</v>
      </c>
      <c r="D253" s="5" t="str">
        <f t="shared" si="53"/>
        <v>42-1</v>
      </c>
      <c r="E253" t="s">
        <v>340</v>
      </c>
      <c r="F253">
        <v>42</v>
      </c>
      <c r="G253">
        <v>8596</v>
      </c>
      <c r="H253">
        <v>9304</v>
      </c>
      <c r="I253">
        <v>46</v>
      </c>
      <c r="J253">
        <v>47</v>
      </c>
      <c r="AC253">
        <f t="shared" si="33"/>
        <v>17900</v>
      </c>
      <c r="AD253">
        <f t="shared" si="34"/>
        <v>93</v>
      </c>
      <c r="AE253">
        <f t="shared" si="35"/>
        <v>93</v>
      </c>
      <c r="AF253">
        <f t="shared" si="36"/>
        <v>0</v>
      </c>
      <c r="AG253">
        <f t="shared" si="37"/>
        <v>5.1955307262569837E-3</v>
      </c>
      <c r="AH253">
        <f t="shared" si="38"/>
        <v>0</v>
      </c>
      <c r="AI253">
        <f t="shared" si="8"/>
        <v>0</v>
      </c>
      <c r="AJ253">
        <f t="shared" si="9"/>
        <v>5.1686767076085148E-3</v>
      </c>
      <c r="AK253">
        <v>8642</v>
      </c>
      <c r="AL253">
        <v>9351</v>
      </c>
      <c r="AM253">
        <v>17993</v>
      </c>
      <c r="AN253" t="s">
        <v>43</v>
      </c>
      <c r="AO253">
        <v>0</v>
      </c>
    </row>
    <row r="254" spans="1:41" x14ac:dyDescent="0.2">
      <c r="A254" t="s">
        <v>360</v>
      </c>
      <c r="B254" s="4" t="str">
        <f t="shared" si="46"/>
        <v>42-5-1</v>
      </c>
      <c r="C254" t="s">
        <v>361</v>
      </c>
      <c r="D254" s="5" t="str">
        <f t="shared" ref="D254:D260" si="54">F254&amp;"-"&amp;5</f>
        <v>42-5</v>
      </c>
      <c r="E254" t="s">
        <v>340</v>
      </c>
      <c r="F254">
        <v>42</v>
      </c>
      <c r="G254">
        <v>17279</v>
      </c>
      <c r="H254">
        <v>20128</v>
      </c>
      <c r="I254">
        <v>1118</v>
      </c>
      <c r="J254">
        <v>1319</v>
      </c>
      <c r="K254">
        <v>200</v>
      </c>
      <c r="L254">
        <v>278</v>
      </c>
      <c r="S254">
        <v>25</v>
      </c>
      <c r="T254">
        <v>30</v>
      </c>
      <c r="AC254">
        <f t="shared" si="33"/>
        <v>37407</v>
      </c>
      <c r="AD254">
        <f t="shared" si="34"/>
        <v>2970</v>
      </c>
      <c r="AE254">
        <f t="shared" si="35"/>
        <v>2970</v>
      </c>
      <c r="AF254">
        <f t="shared" si="36"/>
        <v>478</v>
      </c>
      <c r="AG254">
        <f t="shared" si="37"/>
        <v>7.9396904322720341E-2</v>
      </c>
      <c r="AH254">
        <f t="shared" si="38"/>
        <v>1.2778356992006844E-2</v>
      </c>
      <c r="AI254">
        <f t="shared" si="8"/>
        <v>1.1838422864502068E-2</v>
      </c>
      <c r="AJ254">
        <f t="shared" si="9"/>
        <v>7.3556727840106986E-2</v>
      </c>
      <c r="AK254">
        <v>18622</v>
      </c>
      <c r="AL254">
        <v>21755</v>
      </c>
      <c r="AM254">
        <v>40377</v>
      </c>
      <c r="AN254" t="s">
        <v>43</v>
      </c>
      <c r="AO254">
        <v>0</v>
      </c>
    </row>
    <row r="255" spans="1:41" x14ac:dyDescent="0.2">
      <c r="A255" t="s">
        <v>362</v>
      </c>
      <c r="B255" s="4" t="str">
        <f t="shared" si="46"/>
        <v>42-5-2</v>
      </c>
      <c r="C255" t="s">
        <v>361</v>
      </c>
      <c r="D255" s="5" t="str">
        <f t="shared" si="54"/>
        <v>42-5</v>
      </c>
      <c r="E255" t="s">
        <v>340</v>
      </c>
      <c r="F255">
        <v>42</v>
      </c>
      <c r="G255">
        <v>9665</v>
      </c>
      <c r="H255">
        <v>9351</v>
      </c>
      <c r="I255">
        <v>469</v>
      </c>
      <c r="J255">
        <v>520</v>
      </c>
      <c r="K255">
        <v>247</v>
      </c>
      <c r="L255">
        <v>261</v>
      </c>
      <c r="S255">
        <v>10</v>
      </c>
      <c r="T255">
        <v>12</v>
      </c>
      <c r="AC255">
        <f t="shared" si="33"/>
        <v>19016</v>
      </c>
      <c r="AD255">
        <f t="shared" si="34"/>
        <v>1519</v>
      </c>
      <c r="AE255">
        <f t="shared" si="35"/>
        <v>1519</v>
      </c>
      <c r="AF255">
        <f t="shared" si="36"/>
        <v>508</v>
      </c>
      <c r="AG255">
        <f t="shared" si="37"/>
        <v>7.9880100967606227E-2</v>
      </c>
      <c r="AH255">
        <f t="shared" si="38"/>
        <v>2.6714345814051327E-2</v>
      </c>
      <c r="AI255">
        <f t="shared" si="8"/>
        <v>2.4738251765278791E-2</v>
      </c>
      <c r="AJ255">
        <f t="shared" si="9"/>
        <v>7.3971268565863155E-2</v>
      </c>
      <c r="AK255">
        <v>10391</v>
      </c>
      <c r="AL255">
        <v>10144</v>
      </c>
      <c r="AM255">
        <v>20535</v>
      </c>
      <c r="AN255" t="s">
        <v>43</v>
      </c>
      <c r="AO255">
        <v>0</v>
      </c>
    </row>
    <row r="256" spans="1:41" x14ac:dyDescent="0.2">
      <c r="A256" t="s">
        <v>363</v>
      </c>
      <c r="B256" s="4" t="str">
        <f t="shared" si="46"/>
        <v>42-5-3</v>
      </c>
      <c r="C256" t="s">
        <v>361</v>
      </c>
      <c r="D256" s="5" t="str">
        <f t="shared" si="54"/>
        <v>42-5</v>
      </c>
      <c r="E256" t="s">
        <v>340</v>
      </c>
      <c r="F256">
        <v>42</v>
      </c>
      <c r="G256">
        <v>5380</v>
      </c>
      <c r="H256">
        <v>5649</v>
      </c>
      <c r="I256">
        <v>2019</v>
      </c>
      <c r="J256">
        <v>1916</v>
      </c>
      <c r="K256">
        <v>10</v>
      </c>
      <c r="L256">
        <v>10</v>
      </c>
      <c r="AC256">
        <f t="shared" si="33"/>
        <v>11029</v>
      </c>
      <c r="AD256">
        <f t="shared" si="34"/>
        <v>3955</v>
      </c>
      <c r="AE256">
        <f t="shared" si="35"/>
        <v>3955</v>
      </c>
      <c r="AF256">
        <f t="shared" si="36"/>
        <v>20</v>
      </c>
      <c r="AG256">
        <f t="shared" si="37"/>
        <v>0.35860005440203102</v>
      </c>
      <c r="AH256">
        <f t="shared" si="38"/>
        <v>1.8134010336385892E-3</v>
      </c>
      <c r="AI256">
        <f t="shared" si="8"/>
        <v>1.3347570742124934E-3</v>
      </c>
      <c r="AJ256">
        <f t="shared" si="9"/>
        <v>0.26394821142552055</v>
      </c>
      <c r="AK256">
        <v>7409</v>
      </c>
      <c r="AL256">
        <v>7575</v>
      </c>
      <c r="AM256">
        <v>14984</v>
      </c>
      <c r="AN256" t="s">
        <v>43</v>
      </c>
      <c r="AO256">
        <v>0</v>
      </c>
    </row>
    <row r="257" spans="1:41" x14ac:dyDescent="0.2">
      <c r="A257" t="s">
        <v>364</v>
      </c>
      <c r="B257" s="4" t="str">
        <f t="shared" si="46"/>
        <v>42-5-4</v>
      </c>
      <c r="C257" t="s">
        <v>361</v>
      </c>
      <c r="D257" s="5" t="str">
        <f t="shared" si="54"/>
        <v>42-5</v>
      </c>
      <c r="E257" t="s">
        <v>340</v>
      </c>
      <c r="F257">
        <v>42</v>
      </c>
      <c r="G257">
        <v>14093</v>
      </c>
      <c r="H257">
        <v>16277</v>
      </c>
      <c r="I257">
        <v>4353</v>
      </c>
      <c r="J257">
        <v>4565</v>
      </c>
      <c r="K257">
        <v>192</v>
      </c>
      <c r="L257">
        <v>285</v>
      </c>
      <c r="S257">
        <v>9</v>
      </c>
      <c r="T257">
        <v>12</v>
      </c>
      <c r="AC257">
        <f t="shared" si="33"/>
        <v>30370</v>
      </c>
      <c r="AD257">
        <f t="shared" si="34"/>
        <v>9416</v>
      </c>
      <c r="AE257">
        <f t="shared" si="35"/>
        <v>9416</v>
      </c>
      <c r="AF257">
        <f t="shared" si="36"/>
        <v>477</v>
      </c>
      <c r="AG257">
        <f t="shared" si="37"/>
        <v>0.31004280540006585</v>
      </c>
      <c r="AH257">
        <f t="shared" si="38"/>
        <v>1.5706289101086599E-2</v>
      </c>
      <c r="AI257">
        <f t="shared" ref="AI257:AI340" si="55">AF257/AM257</f>
        <v>1.1978303450354076E-2</v>
      </c>
      <c r="AJ257">
        <f t="shared" ref="AJ257:AJ340" si="56">AD257/AM257</f>
        <v>0.23645221234493496</v>
      </c>
      <c r="AK257">
        <v>18666</v>
      </c>
      <c r="AL257">
        <v>21156</v>
      </c>
      <c r="AM257">
        <v>39822</v>
      </c>
      <c r="AN257" t="s">
        <v>43</v>
      </c>
      <c r="AO257">
        <v>0</v>
      </c>
    </row>
    <row r="258" spans="1:41" x14ac:dyDescent="0.2">
      <c r="A258" t="s">
        <v>365</v>
      </c>
      <c r="B258" s="4" t="str">
        <f t="shared" si="46"/>
        <v>42-5-5</v>
      </c>
      <c r="C258" t="s">
        <v>361</v>
      </c>
      <c r="D258" s="5" t="str">
        <f t="shared" si="54"/>
        <v>42-5</v>
      </c>
      <c r="E258" t="s">
        <v>340</v>
      </c>
      <c r="F258">
        <v>42</v>
      </c>
      <c r="G258">
        <v>17149</v>
      </c>
      <c r="H258">
        <v>19719</v>
      </c>
      <c r="I258">
        <v>7365</v>
      </c>
      <c r="J258">
        <v>8360</v>
      </c>
      <c r="K258">
        <v>370</v>
      </c>
      <c r="L258">
        <v>473</v>
      </c>
      <c r="AC258">
        <f t="shared" si="33"/>
        <v>36868</v>
      </c>
      <c r="AD258">
        <f t="shared" si="34"/>
        <v>16568</v>
      </c>
      <c r="AE258">
        <f t="shared" si="35"/>
        <v>16568</v>
      </c>
      <c r="AF258">
        <f t="shared" si="36"/>
        <v>843</v>
      </c>
      <c r="AG258">
        <f t="shared" si="37"/>
        <v>0.44938700227839862</v>
      </c>
      <c r="AH258">
        <f t="shared" si="38"/>
        <v>2.2865357491591624E-2</v>
      </c>
      <c r="AI258">
        <f t="shared" si="55"/>
        <v>1.5775881428250618E-2</v>
      </c>
      <c r="AJ258">
        <f t="shared" si="56"/>
        <v>0.31005314769069542</v>
      </c>
      <c r="AK258">
        <v>24884</v>
      </c>
      <c r="AL258">
        <v>28552</v>
      </c>
      <c r="AM258">
        <v>53436</v>
      </c>
      <c r="AN258" t="s">
        <v>43</v>
      </c>
      <c r="AO258" s="6">
        <v>1</v>
      </c>
    </row>
    <row r="259" spans="1:41" x14ac:dyDescent="0.2">
      <c r="A259" t="s">
        <v>366</v>
      </c>
      <c r="B259" s="4" t="str">
        <f t="shared" si="46"/>
        <v>42-5-6</v>
      </c>
      <c r="C259" t="s">
        <v>361</v>
      </c>
      <c r="D259" s="5" t="str">
        <f t="shared" si="54"/>
        <v>42-5</v>
      </c>
      <c r="E259" t="s">
        <v>340</v>
      </c>
      <c r="F259">
        <v>42</v>
      </c>
      <c r="G259">
        <v>3551</v>
      </c>
      <c r="H259">
        <v>4300</v>
      </c>
      <c r="I259">
        <v>631</v>
      </c>
      <c r="J259">
        <v>700</v>
      </c>
      <c r="AC259">
        <f t="shared" si="33"/>
        <v>7851</v>
      </c>
      <c r="AD259">
        <f t="shared" si="34"/>
        <v>1331</v>
      </c>
      <c r="AE259">
        <f t="shared" si="35"/>
        <v>1331</v>
      </c>
      <c r="AF259">
        <f t="shared" si="36"/>
        <v>0</v>
      </c>
      <c r="AG259">
        <f t="shared" si="37"/>
        <v>0.16953254362501591</v>
      </c>
      <c r="AH259">
        <f t="shared" si="38"/>
        <v>0</v>
      </c>
      <c r="AI259">
        <f t="shared" si="55"/>
        <v>0</v>
      </c>
      <c r="AJ259">
        <f t="shared" si="56"/>
        <v>0.1449575255935526</v>
      </c>
      <c r="AK259">
        <v>4182</v>
      </c>
      <c r="AL259">
        <v>5000</v>
      </c>
      <c r="AM259">
        <v>9182</v>
      </c>
      <c r="AN259" t="s">
        <v>43</v>
      </c>
      <c r="AO259">
        <v>0</v>
      </c>
    </row>
    <row r="260" spans="1:41" x14ac:dyDescent="0.2">
      <c r="A260" t="s">
        <v>367</v>
      </c>
      <c r="B260" s="4" t="str">
        <f t="shared" si="46"/>
        <v>42-5-7</v>
      </c>
      <c r="C260" t="s">
        <v>361</v>
      </c>
      <c r="D260" s="5" t="str">
        <f t="shared" si="54"/>
        <v>42-5</v>
      </c>
      <c r="E260" t="s">
        <v>340</v>
      </c>
      <c r="F260">
        <v>42</v>
      </c>
      <c r="G260">
        <v>9956</v>
      </c>
      <c r="H260">
        <v>9924</v>
      </c>
      <c r="I260">
        <v>1636</v>
      </c>
      <c r="J260">
        <v>1498</v>
      </c>
      <c r="K260">
        <v>9</v>
      </c>
      <c r="L260">
        <v>7</v>
      </c>
      <c r="O260">
        <v>19</v>
      </c>
      <c r="P260">
        <v>17</v>
      </c>
      <c r="AC260">
        <f t="shared" si="33"/>
        <v>19880</v>
      </c>
      <c r="AD260">
        <f t="shared" si="34"/>
        <v>3186</v>
      </c>
      <c r="AE260">
        <f t="shared" si="35"/>
        <v>3186</v>
      </c>
      <c r="AF260">
        <f t="shared" si="36"/>
        <v>16</v>
      </c>
      <c r="AG260">
        <f t="shared" si="37"/>
        <v>0.16026156941649899</v>
      </c>
      <c r="AH260">
        <f t="shared" si="38"/>
        <v>8.0482897384305833E-4</v>
      </c>
      <c r="AI260">
        <f t="shared" si="55"/>
        <v>6.9474598349978289E-4</v>
      </c>
      <c r="AJ260">
        <f t="shared" si="56"/>
        <v>0.13834129396439426</v>
      </c>
      <c r="AK260">
        <v>11601</v>
      </c>
      <c r="AL260">
        <v>11429</v>
      </c>
      <c r="AM260">
        <v>23030</v>
      </c>
      <c r="AN260" t="s">
        <v>43</v>
      </c>
      <c r="AO260">
        <v>0</v>
      </c>
    </row>
    <row r="261" spans="1:41" x14ac:dyDescent="0.2">
      <c r="A261" t="s">
        <v>368</v>
      </c>
      <c r="B261" s="4" t="str">
        <f t="shared" si="46"/>
        <v>42-3-1</v>
      </c>
      <c r="C261" t="s">
        <v>369</v>
      </c>
      <c r="D261" s="5" t="str">
        <f t="shared" ref="D261:D265" si="57">F261&amp;"-"&amp;3</f>
        <v>42-3</v>
      </c>
      <c r="E261" t="s">
        <v>340</v>
      </c>
      <c r="F261">
        <v>42</v>
      </c>
      <c r="G261">
        <v>13545</v>
      </c>
      <c r="H261">
        <v>13838</v>
      </c>
      <c r="J261">
        <v>7</v>
      </c>
      <c r="AC261">
        <f t="shared" si="33"/>
        <v>27383</v>
      </c>
      <c r="AD261">
        <f t="shared" si="34"/>
        <v>7</v>
      </c>
      <c r="AE261">
        <f t="shared" si="35"/>
        <v>7</v>
      </c>
      <c r="AF261">
        <f t="shared" si="36"/>
        <v>0</v>
      </c>
      <c r="AG261">
        <f t="shared" si="37"/>
        <v>2.5563305700617171E-4</v>
      </c>
      <c r="AH261">
        <f t="shared" si="38"/>
        <v>0</v>
      </c>
      <c r="AI261">
        <f t="shared" si="55"/>
        <v>0</v>
      </c>
      <c r="AJ261">
        <f t="shared" si="56"/>
        <v>2.5556772544724351E-4</v>
      </c>
      <c r="AK261">
        <v>13545</v>
      </c>
      <c r="AL261">
        <v>13845</v>
      </c>
      <c r="AM261">
        <v>27390</v>
      </c>
      <c r="AN261" t="s">
        <v>43</v>
      </c>
      <c r="AO261">
        <v>0</v>
      </c>
    </row>
    <row r="262" spans="1:41" x14ac:dyDescent="0.2">
      <c r="A262" t="s">
        <v>370</v>
      </c>
      <c r="B262" s="4" t="str">
        <f t="shared" si="46"/>
        <v>42-3-2</v>
      </c>
      <c r="C262" t="s">
        <v>369</v>
      </c>
      <c r="D262" s="5" t="str">
        <f t="shared" si="57"/>
        <v>42-3</v>
      </c>
      <c r="E262" t="s">
        <v>340</v>
      </c>
      <c r="F262">
        <v>42</v>
      </c>
      <c r="G262">
        <v>17699</v>
      </c>
      <c r="H262">
        <v>19261</v>
      </c>
      <c r="I262">
        <v>439</v>
      </c>
      <c r="J262">
        <v>515</v>
      </c>
      <c r="AC262">
        <f t="shared" si="33"/>
        <v>36960</v>
      </c>
      <c r="AD262">
        <f t="shared" si="34"/>
        <v>954</v>
      </c>
      <c r="AE262">
        <f t="shared" si="35"/>
        <v>954</v>
      </c>
      <c r="AF262">
        <f t="shared" si="36"/>
        <v>0</v>
      </c>
      <c r="AG262">
        <f t="shared" si="37"/>
        <v>2.5811688311688313E-2</v>
      </c>
      <c r="AH262">
        <f t="shared" si="38"/>
        <v>0</v>
      </c>
      <c r="AI262">
        <f t="shared" si="55"/>
        <v>0</v>
      </c>
      <c r="AJ262">
        <f t="shared" si="56"/>
        <v>2.5162209210318087E-2</v>
      </c>
      <c r="AK262">
        <v>18138</v>
      </c>
      <c r="AL262">
        <v>19776</v>
      </c>
      <c r="AM262">
        <v>37914</v>
      </c>
      <c r="AN262" t="s">
        <v>43</v>
      </c>
      <c r="AO262">
        <v>0</v>
      </c>
    </row>
    <row r="263" spans="1:41" x14ac:dyDescent="0.2">
      <c r="A263" t="s">
        <v>371</v>
      </c>
      <c r="B263" s="4" t="str">
        <f t="shared" si="46"/>
        <v>42-3-3</v>
      </c>
      <c r="C263" t="s">
        <v>369</v>
      </c>
      <c r="D263" s="5" t="str">
        <f t="shared" si="57"/>
        <v>42-3</v>
      </c>
      <c r="E263" t="s">
        <v>340</v>
      </c>
      <c r="F263">
        <v>42</v>
      </c>
      <c r="G263">
        <v>37494</v>
      </c>
      <c r="H263">
        <v>35468</v>
      </c>
      <c r="I263">
        <v>2072</v>
      </c>
      <c r="J263">
        <v>1987</v>
      </c>
      <c r="K263">
        <v>26</v>
      </c>
      <c r="L263">
        <v>23</v>
      </c>
      <c r="Q263">
        <v>104</v>
      </c>
      <c r="R263">
        <v>112</v>
      </c>
      <c r="AC263">
        <f t="shared" si="33"/>
        <v>72962</v>
      </c>
      <c r="AD263">
        <f t="shared" si="34"/>
        <v>4108</v>
      </c>
      <c r="AE263">
        <f t="shared" si="35"/>
        <v>4324</v>
      </c>
      <c r="AF263">
        <f t="shared" si="36"/>
        <v>49</v>
      </c>
      <c r="AG263">
        <f t="shared" si="37"/>
        <v>5.6303281160055917E-2</v>
      </c>
      <c r="AH263">
        <f t="shared" si="38"/>
        <v>6.7158246758586661E-4</v>
      </c>
      <c r="AI263">
        <f t="shared" si="55"/>
        <v>6.3400874673291414E-4</v>
      </c>
      <c r="AJ263">
        <f t="shared" si="56"/>
        <v>5.3153223093445126E-2</v>
      </c>
      <c r="AK263">
        <v>39696</v>
      </c>
      <c r="AL263">
        <v>37590</v>
      </c>
      <c r="AM263">
        <v>77286</v>
      </c>
      <c r="AN263" t="s">
        <v>43</v>
      </c>
      <c r="AO263" s="6">
        <v>1</v>
      </c>
    </row>
    <row r="264" spans="1:41" x14ac:dyDescent="0.2">
      <c r="A264" t="s">
        <v>372</v>
      </c>
      <c r="B264" s="4" t="str">
        <f t="shared" si="46"/>
        <v>42-3-4</v>
      </c>
      <c r="C264" t="s">
        <v>369</v>
      </c>
      <c r="D264" s="5" t="str">
        <f t="shared" si="57"/>
        <v>42-3</v>
      </c>
      <c r="E264" t="s">
        <v>340</v>
      </c>
      <c r="F264">
        <v>42</v>
      </c>
      <c r="G264">
        <v>11752</v>
      </c>
      <c r="H264">
        <v>11846</v>
      </c>
      <c r="I264">
        <v>104</v>
      </c>
      <c r="J264">
        <v>105</v>
      </c>
      <c r="K264">
        <v>118</v>
      </c>
      <c r="L264">
        <v>128</v>
      </c>
      <c r="AC264">
        <f t="shared" si="33"/>
        <v>23598</v>
      </c>
      <c r="AD264">
        <f t="shared" si="34"/>
        <v>455</v>
      </c>
      <c r="AE264">
        <f t="shared" si="35"/>
        <v>455</v>
      </c>
      <c r="AF264">
        <f t="shared" si="36"/>
        <v>246</v>
      </c>
      <c r="AG264">
        <f t="shared" si="37"/>
        <v>1.9281295025002119E-2</v>
      </c>
      <c r="AH264">
        <f t="shared" si="38"/>
        <v>1.0424612255275871E-2</v>
      </c>
      <c r="AI264">
        <f t="shared" si="55"/>
        <v>1.0227414459734753E-2</v>
      </c>
      <c r="AJ264">
        <f t="shared" si="56"/>
        <v>1.8916559264956553E-2</v>
      </c>
      <c r="AK264">
        <v>11974</v>
      </c>
      <c r="AL264">
        <v>12079</v>
      </c>
      <c r="AM264">
        <v>24053</v>
      </c>
      <c r="AN264" t="s">
        <v>43</v>
      </c>
      <c r="AO264">
        <v>0</v>
      </c>
    </row>
    <row r="265" spans="1:41" x14ac:dyDescent="0.2">
      <c r="A265" t="s">
        <v>373</v>
      </c>
      <c r="B265" s="4" t="str">
        <f t="shared" si="46"/>
        <v>42-3-5</v>
      </c>
      <c r="C265" t="s">
        <v>369</v>
      </c>
      <c r="D265" s="5" t="str">
        <f t="shared" si="57"/>
        <v>42-3</v>
      </c>
      <c r="E265" t="s">
        <v>340</v>
      </c>
      <c r="F265">
        <v>42</v>
      </c>
      <c r="G265">
        <v>8716</v>
      </c>
      <c r="H265">
        <v>8766</v>
      </c>
      <c r="I265">
        <v>2</v>
      </c>
      <c r="J265">
        <v>5</v>
      </c>
      <c r="AC265">
        <f t="shared" si="33"/>
        <v>17482</v>
      </c>
      <c r="AD265">
        <f t="shared" si="34"/>
        <v>7</v>
      </c>
      <c r="AE265">
        <f t="shared" si="35"/>
        <v>7</v>
      </c>
      <c r="AF265">
        <f t="shared" si="36"/>
        <v>0</v>
      </c>
      <c r="AG265">
        <f t="shared" si="37"/>
        <v>4.0041185219082484E-4</v>
      </c>
      <c r="AH265">
        <f t="shared" si="38"/>
        <v>0</v>
      </c>
      <c r="AI265">
        <f t="shared" si="55"/>
        <v>0</v>
      </c>
      <c r="AJ265">
        <f t="shared" si="56"/>
        <v>4.0025158671164732E-4</v>
      </c>
      <c r="AK265">
        <v>8718</v>
      </c>
      <c r="AL265">
        <v>8771</v>
      </c>
      <c r="AM265">
        <v>17489</v>
      </c>
      <c r="AN265" t="s">
        <v>43</v>
      </c>
      <c r="AO265">
        <v>0</v>
      </c>
    </row>
    <row r="266" spans="1:41" x14ac:dyDescent="0.2">
      <c r="A266" t="s">
        <v>374</v>
      </c>
      <c r="B266" t="str">
        <f>F266&amp;"-"&amp;3</f>
        <v>17-3</v>
      </c>
      <c r="C266" t="s">
        <v>375</v>
      </c>
      <c r="D266" s="5" t="s">
        <v>376</v>
      </c>
      <c r="E266" t="s">
        <v>302</v>
      </c>
      <c r="F266">
        <v>17</v>
      </c>
      <c r="G266">
        <v>7668</v>
      </c>
      <c r="H266">
        <v>8634</v>
      </c>
      <c r="I266">
        <v>612</v>
      </c>
      <c r="J266">
        <v>1059</v>
      </c>
      <c r="R266">
        <v>3</v>
      </c>
      <c r="AA266">
        <v>8</v>
      </c>
      <c r="AB266">
        <v>22</v>
      </c>
      <c r="AC266">
        <f t="shared" si="33"/>
        <v>16302</v>
      </c>
      <c r="AD266">
        <f t="shared" si="34"/>
        <v>1671</v>
      </c>
      <c r="AE266">
        <f t="shared" si="35"/>
        <v>1674</v>
      </c>
      <c r="AF266">
        <f t="shared" si="36"/>
        <v>0</v>
      </c>
      <c r="AG266">
        <f t="shared" si="37"/>
        <v>0.10250276039749724</v>
      </c>
      <c r="AH266">
        <f t="shared" si="38"/>
        <v>0</v>
      </c>
      <c r="AI266">
        <f t="shared" si="55"/>
        <v>0</v>
      </c>
      <c r="AJ266">
        <f t="shared" si="56"/>
        <v>9.2802399200266575E-2</v>
      </c>
      <c r="AK266">
        <v>8288</v>
      </c>
      <c r="AL266">
        <v>9718</v>
      </c>
      <c r="AM266">
        <v>18006</v>
      </c>
      <c r="AN266" t="s">
        <v>43</v>
      </c>
      <c r="AO266">
        <v>0</v>
      </c>
    </row>
    <row r="267" spans="1:41" x14ac:dyDescent="0.2">
      <c r="A267" t="s">
        <v>377</v>
      </c>
      <c r="B267" t="str">
        <f>F267&amp;"-"&amp;4</f>
        <v>17-4</v>
      </c>
      <c r="C267" t="s">
        <v>375</v>
      </c>
      <c r="D267" s="5" t="s">
        <v>376</v>
      </c>
      <c r="E267" t="s">
        <v>302</v>
      </c>
      <c r="F267">
        <v>17</v>
      </c>
      <c r="G267">
        <v>16735</v>
      </c>
      <c r="H267">
        <v>19807</v>
      </c>
      <c r="I267">
        <v>1447</v>
      </c>
      <c r="J267">
        <v>1713</v>
      </c>
      <c r="K267">
        <v>144</v>
      </c>
      <c r="L267">
        <v>136</v>
      </c>
      <c r="AC267">
        <f t="shared" si="33"/>
        <v>36542</v>
      </c>
      <c r="AD267">
        <f t="shared" si="34"/>
        <v>3440</v>
      </c>
      <c r="AE267">
        <f t="shared" si="35"/>
        <v>3440</v>
      </c>
      <c r="AF267">
        <f t="shared" si="36"/>
        <v>280</v>
      </c>
      <c r="AG267">
        <f t="shared" si="37"/>
        <v>9.4138251874555309E-2</v>
      </c>
      <c r="AH267">
        <f t="shared" si="38"/>
        <v>7.6624158502545019E-3</v>
      </c>
      <c r="AI267">
        <f t="shared" si="55"/>
        <v>7.0031514181381621E-3</v>
      </c>
      <c r="AJ267">
        <f t="shared" si="56"/>
        <v>8.6038717422840277E-2</v>
      </c>
      <c r="AK267">
        <v>18326</v>
      </c>
      <c r="AL267">
        <v>21656</v>
      </c>
      <c r="AM267">
        <v>39982</v>
      </c>
      <c r="AN267" t="s">
        <v>43</v>
      </c>
      <c r="AO267">
        <v>0</v>
      </c>
    </row>
    <row r="268" spans="1:41" x14ac:dyDescent="0.2">
      <c r="A268" t="s">
        <v>378</v>
      </c>
      <c r="B268" t="str">
        <f>F268&amp;"-"&amp;1</f>
        <v>17-1</v>
      </c>
      <c r="C268" t="s">
        <v>375</v>
      </c>
      <c r="D268" s="5" t="s">
        <v>376</v>
      </c>
      <c r="E268" t="s">
        <v>302</v>
      </c>
      <c r="F268">
        <v>17</v>
      </c>
      <c r="G268">
        <v>4093</v>
      </c>
      <c r="H268">
        <v>4225</v>
      </c>
      <c r="I268">
        <v>2532</v>
      </c>
      <c r="J268">
        <v>2407</v>
      </c>
      <c r="K268">
        <v>432</v>
      </c>
      <c r="L268">
        <v>532</v>
      </c>
      <c r="Q268">
        <v>766</v>
      </c>
      <c r="R268">
        <v>729</v>
      </c>
      <c r="S268">
        <v>19</v>
      </c>
      <c r="T268">
        <v>27</v>
      </c>
      <c r="AA268">
        <v>125</v>
      </c>
      <c r="AB268">
        <v>167</v>
      </c>
      <c r="AC268">
        <f t="shared" si="33"/>
        <v>8318</v>
      </c>
      <c r="AD268">
        <f t="shared" si="34"/>
        <v>5949</v>
      </c>
      <c r="AE268">
        <f t="shared" si="35"/>
        <v>7444</v>
      </c>
      <c r="AF268">
        <f t="shared" si="36"/>
        <v>964</v>
      </c>
      <c r="AG268">
        <f t="shared" si="37"/>
        <v>0.71519596056744406</v>
      </c>
      <c r="AH268">
        <f t="shared" si="38"/>
        <v>0.11589324356816542</v>
      </c>
      <c r="AI268">
        <f t="shared" si="55"/>
        <v>6.0047340226734768E-2</v>
      </c>
      <c r="AJ268">
        <f t="shared" si="56"/>
        <v>0.37056185374361528</v>
      </c>
      <c r="AK268">
        <v>7967</v>
      </c>
      <c r="AL268">
        <v>8087</v>
      </c>
      <c r="AM268">
        <v>16054</v>
      </c>
      <c r="AN268" t="s">
        <v>43</v>
      </c>
      <c r="AO268" s="6">
        <v>1</v>
      </c>
    </row>
    <row r="269" spans="1:41" x14ac:dyDescent="0.2">
      <c r="A269" t="s">
        <v>379</v>
      </c>
      <c r="B269" t="str">
        <f>F269&amp;"-"&amp;2</f>
        <v>17-2</v>
      </c>
      <c r="C269" t="s">
        <v>375</v>
      </c>
      <c r="D269" s="5" t="s">
        <v>376</v>
      </c>
      <c r="E269" t="s">
        <v>302</v>
      </c>
      <c r="F269">
        <v>17</v>
      </c>
      <c r="G269">
        <v>13826</v>
      </c>
      <c r="H269">
        <v>14693</v>
      </c>
      <c r="I269">
        <v>2094</v>
      </c>
      <c r="J269">
        <v>2332</v>
      </c>
      <c r="K269">
        <v>195</v>
      </c>
      <c r="L269">
        <v>274</v>
      </c>
      <c r="Q269">
        <v>114</v>
      </c>
      <c r="R269">
        <v>126</v>
      </c>
      <c r="AC269">
        <f t="shared" si="33"/>
        <v>28519</v>
      </c>
      <c r="AD269">
        <f t="shared" si="34"/>
        <v>4895</v>
      </c>
      <c r="AE269">
        <f t="shared" si="35"/>
        <v>5135</v>
      </c>
      <c r="AF269">
        <f t="shared" si="36"/>
        <v>469</v>
      </c>
      <c r="AG269">
        <f t="shared" si="37"/>
        <v>0.17163995932536205</v>
      </c>
      <c r="AH269">
        <f t="shared" si="38"/>
        <v>1.6445176899610787E-2</v>
      </c>
      <c r="AI269">
        <f t="shared" si="55"/>
        <v>1.3935936292862661E-2</v>
      </c>
      <c r="AJ269">
        <f t="shared" si="56"/>
        <v>0.14545076365365187</v>
      </c>
      <c r="AK269">
        <v>16229</v>
      </c>
      <c r="AL269">
        <v>17425</v>
      </c>
      <c r="AM269">
        <v>33654</v>
      </c>
      <c r="AN269" t="s">
        <v>43</v>
      </c>
      <c r="AO269">
        <v>0</v>
      </c>
    </row>
    <row r="270" spans="1:41" x14ac:dyDescent="0.2">
      <c r="A270" t="s">
        <v>380</v>
      </c>
      <c r="B270" t="str">
        <f>F270&amp;"-"&amp;5</f>
        <v>17-5</v>
      </c>
      <c r="C270" t="s">
        <v>375</v>
      </c>
      <c r="D270" s="5" t="s">
        <v>376</v>
      </c>
      <c r="E270" t="s">
        <v>302</v>
      </c>
      <c r="F270">
        <v>17</v>
      </c>
      <c r="G270">
        <v>4707</v>
      </c>
      <c r="H270">
        <v>5080</v>
      </c>
      <c r="I270">
        <v>335</v>
      </c>
      <c r="J270">
        <v>570</v>
      </c>
      <c r="K270">
        <v>8</v>
      </c>
      <c r="L270">
        <v>20</v>
      </c>
      <c r="M270">
        <v>180</v>
      </c>
      <c r="N270">
        <v>222</v>
      </c>
      <c r="R270">
        <v>17</v>
      </c>
      <c r="AC270">
        <f t="shared" si="33"/>
        <v>9787</v>
      </c>
      <c r="AD270">
        <f t="shared" si="34"/>
        <v>1335</v>
      </c>
      <c r="AE270">
        <f t="shared" si="35"/>
        <v>1352</v>
      </c>
      <c r="AF270">
        <f t="shared" si="36"/>
        <v>28</v>
      </c>
      <c r="AG270">
        <f t="shared" si="37"/>
        <v>0.13640543578215999</v>
      </c>
      <c r="AH270">
        <f t="shared" si="38"/>
        <v>2.8609379789516706E-3</v>
      </c>
      <c r="AI270">
        <f t="shared" si="55"/>
        <v>2.5136906365023789E-3</v>
      </c>
      <c r="AJ270">
        <f t="shared" si="56"/>
        <v>0.11984917856180986</v>
      </c>
      <c r="AK270">
        <v>5230</v>
      </c>
      <c r="AL270">
        <v>5909</v>
      </c>
      <c r="AM270">
        <v>11139</v>
      </c>
      <c r="AN270" t="s">
        <v>43</v>
      </c>
      <c r="AO270">
        <v>0</v>
      </c>
    </row>
    <row r="271" spans="1:41" x14ac:dyDescent="0.2">
      <c r="A271" t="s">
        <v>381</v>
      </c>
      <c r="B271" t="str">
        <f t="shared" ref="B271:B273" si="58">D271&amp;"-"&amp;COUNTIF($C$2:C271,C271)</f>
        <v>59-1</v>
      </c>
      <c r="C271" t="s">
        <v>382</v>
      </c>
      <c r="D271" s="5" t="s">
        <v>383</v>
      </c>
      <c r="E271" t="s">
        <v>302</v>
      </c>
      <c r="F271">
        <v>59</v>
      </c>
      <c r="G271">
        <v>2071</v>
      </c>
      <c r="H271">
        <v>2596</v>
      </c>
      <c r="I271">
        <v>7522</v>
      </c>
      <c r="J271">
        <v>8540</v>
      </c>
      <c r="K271">
        <v>11</v>
      </c>
      <c r="L271">
        <v>13</v>
      </c>
      <c r="M271">
        <v>657</v>
      </c>
      <c r="N271">
        <v>765</v>
      </c>
      <c r="R271">
        <v>1</v>
      </c>
      <c r="T271" s="10"/>
      <c r="U271" s="10"/>
      <c r="V271" s="10"/>
      <c r="W271" s="10"/>
      <c r="X271" s="10"/>
      <c r="Y271" s="14"/>
      <c r="Z271" s="10"/>
      <c r="AA271" s="10"/>
      <c r="AB271" s="10"/>
      <c r="AC271">
        <f t="shared" si="33"/>
        <v>4667</v>
      </c>
      <c r="AD271">
        <f t="shared" si="34"/>
        <v>17508</v>
      </c>
      <c r="AE271">
        <f t="shared" si="35"/>
        <v>17509</v>
      </c>
      <c r="AF271">
        <f t="shared" si="36"/>
        <v>24</v>
      </c>
      <c r="AG271">
        <f t="shared" si="37"/>
        <v>3.7514463252624815</v>
      </c>
      <c r="AH271">
        <f t="shared" si="38"/>
        <v>5.1424898221555607E-3</v>
      </c>
      <c r="AI271">
        <f t="shared" si="55"/>
        <v>1.0822510822510823E-3</v>
      </c>
      <c r="AJ271">
        <f t="shared" si="56"/>
        <v>0.78950216450216448</v>
      </c>
      <c r="AK271" s="15">
        <v>10261</v>
      </c>
      <c r="AL271" s="15">
        <v>11915</v>
      </c>
      <c r="AM271" s="15">
        <v>22176</v>
      </c>
      <c r="AN271" t="s">
        <v>43</v>
      </c>
      <c r="AO271">
        <v>0</v>
      </c>
    </row>
    <row r="272" spans="1:41" x14ac:dyDescent="0.2">
      <c r="A272" t="s">
        <v>384</v>
      </c>
      <c r="B272" t="str">
        <f t="shared" si="58"/>
        <v>59-2</v>
      </c>
      <c r="C272" t="s">
        <v>382</v>
      </c>
      <c r="D272" s="5" t="s">
        <v>383</v>
      </c>
      <c r="E272" t="s">
        <v>302</v>
      </c>
      <c r="F272">
        <v>59</v>
      </c>
      <c r="G272">
        <v>3093</v>
      </c>
      <c r="H272">
        <v>3510</v>
      </c>
      <c r="I272">
        <v>4907</v>
      </c>
      <c r="J272">
        <v>5438</v>
      </c>
      <c r="M272">
        <v>604</v>
      </c>
      <c r="N272">
        <v>756</v>
      </c>
      <c r="T272" s="10"/>
      <c r="U272" s="10"/>
      <c r="V272" s="10"/>
      <c r="W272" s="10"/>
      <c r="X272" s="10"/>
      <c r="Y272" s="16">
        <v>1</v>
      </c>
      <c r="Z272" s="17">
        <v>4</v>
      </c>
      <c r="AA272" s="10"/>
      <c r="AB272" s="10"/>
      <c r="AC272">
        <f t="shared" si="33"/>
        <v>6603</v>
      </c>
      <c r="AD272">
        <f t="shared" si="34"/>
        <v>11705</v>
      </c>
      <c r="AE272">
        <f t="shared" si="35"/>
        <v>11705</v>
      </c>
      <c r="AF272">
        <f t="shared" si="36"/>
        <v>0</v>
      </c>
      <c r="AG272">
        <f t="shared" si="37"/>
        <v>1.7726790852642738</v>
      </c>
      <c r="AH272">
        <f t="shared" si="38"/>
        <v>0</v>
      </c>
      <c r="AI272">
        <f t="shared" si="55"/>
        <v>0</v>
      </c>
      <c r="AJ272">
        <f t="shared" si="56"/>
        <v>0.63916343581062629</v>
      </c>
      <c r="AK272" s="16">
        <v>8605</v>
      </c>
      <c r="AL272" s="16">
        <v>9708</v>
      </c>
      <c r="AM272" s="16">
        <v>18313</v>
      </c>
      <c r="AN272" t="s">
        <v>43</v>
      </c>
      <c r="AO272" s="6">
        <v>1</v>
      </c>
    </row>
    <row r="273" spans="1:41" x14ac:dyDescent="0.2">
      <c r="A273" t="s">
        <v>385</v>
      </c>
      <c r="B273" t="str">
        <f t="shared" si="58"/>
        <v>59-3</v>
      </c>
      <c r="C273" t="s">
        <v>382</v>
      </c>
      <c r="D273" s="5" t="s">
        <v>383</v>
      </c>
      <c r="E273" t="s">
        <v>302</v>
      </c>
      <c r="F273">
        <v>59</v>
      </c>
      <c r="G273">
        <v>1690</v>
      </c>
      <c r="H273">
        <v>2131</v>
      </c>
      <c r="I273">
        <v>4526</v>
      </c>
      <c r="J273">
        <v>4915</v>
      </c>
      <c r="K273">
        <v>436</v>
      </c>
      <c r="L273">
        <v>439</v>
      </c>
      <c r="M273">
        <v>1368</v>
      </c>
      <c r="N273">
        <v>1436</v>
      </c>
      <c r="Q273">
        <v>444</v>
      </c>
      <c r="R273">
        <v>521</v>
      </c>
      <c r="T273" s="10"/>
      <c r="U273" s="10"/>
      <c r="V273" s="10"/>
      <c r="W273" s="10"/>
      <c r="X273" s="10"/>
      <c r="Y273" s="15">
        <v>219</v>
      </c>
      <c r="Z273" s="17">
        <v>208</v>
      </c>
      <c r="AA273" s="10"/>
      <c r="AB273" s="10"/>
      <c r="AC273">
        <f t="shared" si="33"/>
        <v>3821</v>
      </c>
      <c r="AD273">
        <f t="shared" si="34"/>
        <v>13120</v>
      </c>
      <c r="AE273">
        <f t="shared" si="35"/>
        <v>14085</v>
      </c>
      <c r="AF273">
        <f t="shared" si="36"/>
        <v>875</v>
      </c>
      <c r="AG273">
        <f t="shared" si="37"/>
        <v>3.4336561109657158</v>
      </c>
      <c r="AH273">
        <f t="shared" si="38"/>
        <v>0.22899764459565558</v>
      </c>
      <c r="AI273">
        <f t="shared" si="55"/>
        <v>4.7728140511645666E-2</v>
      </c>
      <c r="AJ273">
        <f t="shared" si="56"/>
        <v>0.71564937544318985</v>
      </c>
      <c r="AK273" s="15">
        <v>8683</v>
      </c>
      <c r="AL273" s="15">
        <v>9650</v>
      </c>
      <c r="AM273" s="15">
        <v>18333</v>
      </c>
      <c r="AN273" t="s">
        <v>43</v>
      </c>
      <c r="AO273">
        <v>0</v>
      </c>
    </row>
    <row r="274" spans="1:41" x14ac:dyDescent="0.2">
      <c r="A274" t="s">
        <v>386</v>
      </c>
      <c r="B274" t="str">
        <f>F274&amp;"-"&amp;2</f>
        <v>41-2</v>
      </c>
      <c r="C274" t="s">
        <v>387</v>
      </c>
      <c r="D274" s="5" t="s">
        <v>388</v>
      </c>
      <c r="E274" t="s">
        <v>302</v>
      </c>
      <c r="F274">
        <v>41</v>
      </c>
      <c r="G274">
        <v>18991</v>
      </c>
      <c r="H274">
        <v>21327</v>
      </c>
      <c r="I274">
        <v>1307</v>
      </c>
      <c r="J274">
        <v>1210</v>
      </c>
      <c r="K274">
        <v>5432</v>
      </c>
      <c r="L274">
        <v>5270</v>
      </c>
      <c r="Q274">
        <v>3</v>
      </c>
      <c r="R274">
        <v>3</v>
      </c>
      <c r="S274">
        <v>152</v>
      </c>
      <c r="T274">
        <v>162</v>
      </c>
      <c r="AA274">
        <v>27</v>
      </c>
      <c r="AB274">
        <v>40</v>
      </c>
      <c r="AC274">
        <f t="shared" si="33"/>
        <v>40318</v>
      </c>
      <c r="AD274">
        <f t="shared" si="34"/>
        <v>13533</v>
      </c>
      <c r="AE274">
        <f t="shared" si="35"/>
        <v>13539</v>
      </c>
      <c r="AF274">
        <f t="shared" si="36"/>
        <v>10702</v>
      </c>
      <c r="AG274">
        <f t="shared" si="37"/>
        <v>0.33565653058187411</v>
      </c>
      <c r="AH274">
        <f t="shared" si="38"/>
        <v>0.26543975395604941</v>
      </c>
      <c r="AI274">
        <f t="shared" si="55"/>
        <v>0.19846450560047474</v>
      </c>
      <c r="AJ274">
        <f t="shared" si="56"/>
        <v>0.25096432015429121</v>
      </c>
      <c r="AK274">
        <v>25912</v>
      </c>
      <c r="AL274">
        <v>28012</v>
      </c>
      <c r="AM274">
        <v>53924</v>
      </c>
      <c r="AN274" t="s">
        <v>43</v>
      </c>
      <c r="AO274">
        <v>0</v>
      </c>
    </row>
    <row r="275" spans="1:41" x14ac:dyDescent="0.2">
      <c r="A275" t="s">
        <v>389</v>
      </c>
      <c r="B275" t="s">
        <v>390</v>
      </c>
      <c r="C275" t="s">
        <v>387</v>
      </c>
      <c r="D275" s="5" t="s">
        <v>388</v>
      </c>
      <c r="E275" t="s">
        <v>302</v>
      </c>
      <c r="F275">
        <v>41</v>
      </c>
      <c r="G275">
        <v>11528</v>
      </c>
      <c r="H275">
        <v>10605</v>
      </c>
      <c r="I275">
        <v>2223</v>
      </c>
      <c r="J275">
        <v>2291</v>
      </c>
      <c r="K275">
        <v>2818</v>
      </c>
      <c r="L275">
        <v>3055</v>
      </c>
      <c r="S275">
        <v>36</v>
      </c>
      <c r="T275">
        <v>43</v>
      </c>
      <c r="AB275">
        <v>1</v>
      </c>
      <c r="AC275">
        <f t="shared" si="33"/>
        <v>22133</v>
      </c>
      <c r="AD275">
        <f t="shared" si="34"/>
        <v>10466</v>
      </c>
      <c r="AE275">
        <f t="shared" si="35"/>
        <v>10466</v>
      </c>
      <c r="AF275">
        <f t="shared" si="36"/>
        <v>5873</v>
      </c>
      <c r="AG275">
        <f t="shared" si="37"/>
        <v>0.47286856729770027</v>
      </c>
      <c r="AH275">
        <f t="shared" si="38"/>
        <v>0.26535038178285819</v>
      </c>
      <c r="AI275">
        <f t="shared" si="55"/>
        <v>0.18014784822551455</v>
      </c>
      <c r="AJ275">
        <f t="shared" si="56"/>
        <v>0.32103309714425937</v>
      </c>
      <c r="AK275">
        <v>16605</v>
      </c>
      <c r="AL275">
        <v>15996</v>
      </c>
      <c r="AM275">
        <v>32601</v>
      </c>
      <c r="AN275" t="s">
        <v>43</v>
      </c>
      <c r="AO275">
        <v>0</v>
      </c>
    </row>
    <row r="276" spans="1:41" x14ac:dyDescent="0.2">
      <c r="A276" t="s">
        <v>391</v>
      </c>
      <c r="B276" t="str">
        <f>F276&amp;"-"&amp;1</f>
        <v>41-1</v>
      </c>
      <c r="C276" t="s">
        <v>387</v>
      </c>
      <c r="D276" s="5" t="s">
        <v>388</v>
      </c>
      <c r="E276" t="s">
        <v>302</v>
      </c>
      <c r="F276">
        <v>41</v>
      </c>
      <c r="G276">
        <v>9285</v>
      </c>
      <c r="H276">
        <v>9963</v>
      </c>
      <c r="I276">
        <v>1696</v>
      </c>
      <c r="J276">
        <v>1880</v>
      </c>
      <c r="K276">
        <v>7826</v>
      </c>
      <c r="L276">
        <v>8011</v>
      </c>
      <c r="M276">
        <v>5</v>
      </c>
      <c r="N276">
        <v>8</v>
      </c>
      <c r="O276">
        <v>63</v>
      </c>
      <c r="P276">
        <v>70</v>
      </c>
      <c r="Q276">
        <v>78</v>
      </c>
      <c r="R276">
        <v>84</v>
      </c>
      <c r="S276">
        <v>333</v>
      </c>
      <c r="T276">
        <v>382</v>
      </c>
      <c r="AA276">
        <v>51</v>
      </c>
      <c r="AB276">
        <v>54</v>
      </c>
      <c r="AC276">
        <f t="shared" si="33"/>
        <v>19248</v>
      </c>
      <c r="AD276">
        <f t="shared" si="34"/>
        <v>20274</v>
      </c>
      <c r="AE276">
        <f t="shared" si="35"/>
        <v>20436</v>
      </c>
      <c r="AF276">
        <f t="shared" si="36"/>
        <v>15837</v>
      </c>
      <c r="AG276">
        <f t="shared" si="37"/>
        <v>1.0533042394014962</v>
      </c>
      <c r="AH276">
        <f t="shared" si="38"/>
        <v>0.82278678304239405</v>
      </c>
      <c r="AI276">
        <f t="shared" si="55"/>
        <v>0.39802457965769433</v>
      </c>
      <c r="AJ276">
        <f t="shared" si="56"/>
        <v>0.5095378119580789</v>
      </c>
      <c r="AK276">
        <v>19337</v>
      </c>
      <c r="AL276">
        <v>20452</v>
      </c>
      <c r="AM276">
        <v>39789</v>
      </c>
      <c r="AN276" t="s">
        <v>43</v>
      </c>
      <c r="AO276" s="6">
        <v>1</v>
      </c>
    </row>
    <row r="277" spans="1:41" x14ac:dyDescent="0.2">
      <c r="A277" t="s">
        <v>392</v>
      </c>
      <c r="B277" t="str">
        <f>F277&amp;"-"&amp;3</f>
        <v>41-3</v>
      </c>
      <c r="C277" t="s">
        <v>387</v>
      </c>
      <c r="D277" s="5" t="s">
        <v>388</v>
      </c>
      <c r="E277" t="s">
        <v>302</v>
      </c>
      <c r="F277">
        <v>41</v>
      </c>
      <c r="G277">
        <v>21011</v>
      </c>
      <c r="H277">
        <v>19675</v>
      </c>
      <c r="I277">
        <v>990</v>
      </c>
      <c r="J277">
        <v>1098</v>
      </c>
      <c r="K277">
        <v>626</v>
      </c>
      <c r="L277">
        <v>633</v>
      </c>
      <c r="AC277">
        <f t="shared" si="33"/>
        <v>40686</v>
      </c>
      <c r="AD277">
        <f t="shared" si="34"/>
        <v>3347</v>
      </c>
      <c r="AE277">
        <f t="shared" si="35"/>
        <v>3347</v>
      </c>
      <c r="AF277">
        <f t="shared" si="36"/>
        <v>1259</v>
      </c>
      <c r="AG277">
        <f t="shared" si="37"/>
        <v>8.2264169493191763E-2</v>
      </c>
      <c r="AH277">
        <f t="shared" si="38"/>
        <v>3.0944305166396305E-2</v>
      </c>
      <c r="AI277">
        <f t="shared" si="55"/>
        <v>2.8592192219471759E-2</v>
      </c>
      <c r="AJ277">
        <f t="shared" si="56"/>
        <v>7.6011173438103236E-2</v>
      </c>
      <c r="AK277">
        <v>22627</v>
      </c>
      <c r="AL277">
        <v>21406</v>
      </c>
      <c r="AM277">
        <v>44033</v>
      </c>
      <c r="AN277" t="s">
        <v>43</v>
      </c>
      <c r="AO277">
        <v>0</v>
      </c>
    </row>
    <row r="278" spans="1:41" x14ac:dyDescent="0.2">
      <c r="A278" t="s">
        <v>393</v>
      </c>
      <c r="B278" t="str">
        <f>F278&amp;"-"&amp;5</f>
        <v>41-5</v>
      </c>
      <c r="C278" t="s">
        <v>387</v>
      </c>
      <c r="D278" s="5" t="s">
        <v>388</v>
      </c>
      <c r="E278" t="s">
        <v>302</v>
      </c>
      <c r="F278">
        <v>41</v>
      </c>
      <c r="G278">
        <v>4960</v>
      </c>
      <c r="H278">
        <v>5772</v>
      </c>
      <c r="I278">
        <v>5136</v>
      </c>
      <c r="J278">
        <v>5887</v>
      </c>
      <c r="K278">
        <v>1607</v>
      </c>
      <c r="L278">
        <v>1942</v>
      </c>
      <c r="AB278">
        <v>18</v>
      </c>
      <c r="AC278">
        <f t="shared" si="33"/>
        <v>10732</v>
      </c>
      <c r="AD278">
        <f t="shared" si="34"/>
        <v>14572</v>
      </c>
      <c r="AE278">
        <f t="shared" si="35"/>
        <v>14572</v>
      </c>
      <c r="AF278">
        <f t="shared" si="36"/>
        <v>3549</v>
      </c>
      <c r="AG278">
        <f t="shared" si="37"/>
        <v>1.3578084234066343</v>
      </c>
      <c r="AH278">
        <f t="shared" si="38"/>
        <v>0.33069325382035036</v>
      </c>
      <c r="AI278">
        <f t="shared" si="55"/>
        <v>0.14015480609746467</v>
      </c>
      <c r="AJ278">
        <f t="shared" si="56"/>
        <v>0.57546797251401938</v>
      </c>
      <c r="AK278">
        <v>11703</v>
      </c>
      <c r="AL278">
        <v>13619</v>
      </c>
      <c r="AM278">
        <v>25322</v>
      </c>
      <c r="AN278" t="s">
        <v>43</v>
      </c>
      <c r="AO278">
        <v>0</v>
      </c>
    </row>
    <row r="279" spans="1:41" x14ac:dyDescent="0.2">
      <c r="A279" t="s">
        <v>394</v>
      </c>
      <c r="B279" t="str">
        <f t="shared" ref="B279:B340" si="59">D279&amp;"-"&amp;COUNTIF($C$2:C279,C279)</f>
        <v>58-2-1</v>
      </c>
      <c r="C279" t="s">
        <v>395</v>
      </c>
      <c r="D279" s="5" t="str">
        <f t="shared" ref="D279:D286" si="60">F279&amp;"-"&amp;2</f>
        <v>58-2</v>
      </c>
      <c r="E279" t="s">
        <v>396</v>
      </c>
      <c r="F279">
        <v>58</v>
      </c>
      <c r="G279">
        <v>18335</v>
      </c>
      <c r="H279">
        <v>18835</v>
      </c>
      <c r="I279">
        <v>678</v>
      </c>
      <c r="J279">
        <v>736</v>
      </c>
      <c r="K279">
        <v>3030</v>
      </c>
      <c r="L279">
        <v>3134</v>
      </c>
      <c r="O279">
        <v>10</v>
      </c>
      <c r="P279">
        <v>13</v>
      </c>
      <c r="S279">
        <v>64</v>
      </c>
      <c r="T279">
        <v>66</v>
      </c>
      <c r="AA279">
        <v>5</v>
      </c>
      <c r="AB279">
        <v>20</v>
      </c>
      <c r="AC279">
        <f t="shared" si="33"/>
        <v>37170</v>
      </c>
      <c r="AD279">
        <f t="shared" si="34"/>
        <v>7731</v>
      </c>
      <c r="AE279">
        <f t="shared" si="35"/>
        <v>7731</v>
      </c>
      <c r="AF279">
        <f t="shared" si="36"/>
        <v>6164</v>
      </c>
      <c r="AG279">
        <f t="shared" si="37"/>
        <v>0.20799031476997579</v>
      </c>
      <c r="AH279">
        <f t="shared" si="38"/>
        <v>0.16583266074791497</v>
      </c>
      <c r="AI279">
        <f t="shared" si="55"/>
        <v>0.13720340114855539</v>
      </c>
      <c r="AJ279">
        <f t="shared" si="56"/>
        <v>0.17208298090192761</v>
      </c>
      <c r="AK279">
        <v>22122</v>
      </c>
      <c r="AL279">
        <v>22804</v>
      </c>
      <c r="AM279">
        <v>44926</v>
      </c>
      <c r="AN279" t="s">
        <v>43</v>
      </c>
      <c r="AO279" s="6">
        <v>1</v>
      </c>
    </row>
    <row r="280" spans="1:41" x14ac:dyDescent="0.2">
      <c r="A280" t="s">
        <v>397</v>
      </c>
      <c r="B280" t="str">
        <f t="shared" si="59"/>
        <v>58-2-2</v>
      </c>
      <c r="C280" t="s">
        <v>395</v>
      </c>
      <c r="D280" s="5" t="str">
        <f t="shared" si="60"/>
        <v>58-2</v>
      </c>
      <c r="E280" t="s">
        <v>396</v>
      </c>
      <c r="F280">
        <v>58</v>
      </c>
      <c r="G280">
        <v>9938</v>
      </c>
      <c r="H280">
        <v>10309</v>
      </c>
      <c r="I280">
        <v>1045</v>
      </c>
      <c r="J280">
        <v>1104</v>
      </c>
      <c r="K280">
        <v>1286</v>
      </c>
      <c r="L280">
        <v>1314</v>
      </c>
      <c r="S280">
        <v>70</v>
      </c>
      <c r="T280">
        <v>80</v>
      </c>
      <c r="AC280">
        <f t="shared" si="33"/>
        <v>20247</v>
      </c>
      <c r="AD280">
        <f t="shared" si="34"/>
        <v>4899</v>
      </c>
      <c r="AE280">
        <f t="shared" si="35"/>
        <v>4899</v>
      </c>
      <c r="AF280">
        <f t="shared" si="36"/>
        <v>2600</v>
      </c>
      <c r="AG280">
        <f t="shared" si="37"/>
        <v>0.24196177211438732</v>
      </c>
      <c r="AH280">
        <f t="shared" si="38"/>
        <v>0.12841408603743765</v>
      </c>
      <c r="AI280">
        <f t="shared" si="55"/>
        <v>0.10339616638829237</v>
      </c>
      <c r="AJ280">
        <f t="shared" si="56"/>
        <v>0.19482223812932475</v>
      </c>
      <c r="AK280">
        <v>12339</v>
      </c>
      <c r="AL280">
        <v>12807</v>
      </c>
      <c r="AM280">
        <v>25146</v>
      </c>
      <c r="AN280" t="s">
        <v>43</v>
      </c>
      <c r="AO280">
        <v>0</v>
      </c>
    </row>
    <row r="281" spans="1:41" x14ac:dyDescent="0.2">
      <c r="A281" t="s">
        <v>398</v>
      </c>
      <c r="B281" s="4" t="str">
        <f t="shared" si="59"/>
        <v>58-2-3</v>
      </c>
      <c r="C281" t="s">
        <v>395</v>
      </c>
      <c r="D281" s="5" t="str">
        <f t="shared" si="60"/>
        <v>58-2</v>
      </c>
      <c r="E281" t="s">
        <v>396</v>
      </c>
      <c r="F281">
        <v>58</v>
      </c>
      <c r="G281">
        <v>6723</v>
      </c>
      <c r="H281">
        <v>6907</v>
      </c>
      <c r="I281">
        <v>1863</v>
      </c>
      <c r="J281">
        <v>1766</v>
      </c>
      <c r="K281">
        <v>39</v>
      </c>
      <c r="L281">
        <v>55</v>
      </c>
      <c r="AC281">
        <f t="shared" si="33"/>
        <v>13630</v>
      </c>
      <c r="AD281">
        <f t="shared" si="34"/>
        <v>3723</v>
      </c>
      <c r="AE281">
        <f t="shared" si="35"/>
        <v>3723</v>
      </c>
      <c r="AF281">
        <f t="shared" si="36"/>
        <v>94</v>
      </c>
      <c r="AG281">
        <f t="shared" si="37"/>
        <v>0.2731474688187821</v>
      </c>
      <c r="AH281">
        <f t="shared" si="38"/>
        <v>6.8965517241379309E-3</v>
      </c>
      <c r="AI281">
        <f t="shared" si="55"/>
        <v>5.4163065399020459E-3</v>
      </c>
      <c r="AJ281">
        <f t="shared" si="56"/>
        <v>0.21452031114952463</v>
      </c>
      <c r="AK281">
        <v>8625</v>
      </c>
      <c r="AL281">
        <v>8728</v>
      </c>
      <c r="AM281">
        <v>17355</v>
      </c>
      <c r="AN281" t="s">
        <v>43</v>
      </c>
      <c r="AO281">
        <v>0</v>
      </c>
    </row>
    <row r="282" spans="1:41" x14ac:dyDescent="0.2">
      <c r="A282" t="s">
        <v>399</v>
      </c>
      <c r="B282" s="4" t="str">
        <f t="shared" si="59"/>
        <v>58-2-4</v>
      </c>
      <c r="C282" t="s">
        <v>395</v>
      </c>
      <c r="D282" s="5" t="str">
        <f t="shared" si="60"/>
        <v>58-2</v>
      </c>
      <c r="E282" t="s">
        <v>396</v>
      </c>
      <c r="F282">
        <v>58</v>
      </c>
      <c r="G282">
        <v>5477</v>
      </c>
      <c r="H282">
        <v>5879</v>
      </c>
      <c r="I282">
        <v>1000</v>
      </c>
      <c r="J282">
        <v>994</v>
      </c>
      <c r="K282">
        <v>85</v>
      </c>
      <c r="L282">
        <v>94</v>
      </c>
      <c r="AC282">
        <f t="shared" si="33"/>
        <v>11356</v>
      </c>
      <c r="AD282">
        <f t="shared" si="34"/>
        <v>2173</v>
      </c>
      <c r="AE282">
        <f t="shared" si="35"/>
        <v>2173</v>
      </c>
      <c r="AF282">
        <f t="shared" si="36"/>
        <v>179</v>
      </c>
      <c r="AG282">
        <f t="shared" si="37"/>
        <v>0.19135258893976753</v>
      </c>
      <c r="AH282">
        <f t="shared" si="38"/>
        <v>1.5762592462134555E-2</v>
      </c>
      <c r="AI282">
        <f t="shared" si="55"/>
        <v>1.3230837460270531E-2</v>
      </c>
      <c r="AJ282">
        <f t="shared" si="56"/>
        <v>0.16061793185009979</v>
      </c>
      <c r="AK282">
        <v>6562</v>
      </c>
      <c r="AL282">
        <v>6967</v>
      </c>
      <c r="AM282">
        <v>13529</v>
      </c>
      <c r="AN282" t="s">
        <v>43</v>
      </c>
      <c r="AO282">
        <v>0</v>
      </c>
    </row>
    <row r="283" spans="1:41" x14ac:dyDescent="0.2">
      <c r="A283" t="s">
        <v>400</v>
      </c>
      <c r="B283" s="4" t="str">
        <f t="shared" si="59"/>
        <v>58-2-5</v>
      </c>
      <c r="C283" t="s">
        <v>395</v>
      </c>
      <c r="D283" s="5" t="str">
        <f t="shared" si="60"/>
        <v>58-2</v>
      </c>
      <c r="E283" t="s">
        <v>396</v>
      </c>
      <c r="F283">
        <v>58</v>
      </c>
      <c r="G283">
        <v>15992</v>
      </c>
      <c r="H283">
        <v>15547</v>
      </c>
      <c r="I283">
        <v>80</v>
      </c>
      <c r="J283">
        <v>72</v>
      </c>
      <c r="K283">
        <v>63</v>
      </c>
      <c r="L283">
        <v>69</v>
      </c>
      <c r="S283">
        <v>51</v>
      </c>
      <c r="T283">
        <v>54</v>
      </c>
      <c r="AC283">
        <f t="shared" si="33"/>
        <v>31539</v>
      </c>
      <c r="AD283">
        <f t="shared" si="34"/>
        <v>389</v>
      </c>
      <c r="AE283">
        <f t="shared" si="35"/>
        <v>389</v>
      </c>
      <c r="AF283">
        <f t="shared" si="36"/>
        <v>132</v>
      </c>
      <c r="AG283">
        <f t="shared" si="37"/>
        <v>1.2333935762072356E-2</v>
      </c>
      <c r="AH283">
        <f t="shared" si="38"/>
        <v>4.1852943974127269E-3</v>
      </c>
      <c r="AI283">
        <f t="shared" si="55"/>
        <v>4.1343021799047858E-3</v>
      </c>
      <c r="AJ283">
        <f t="shared" si="56"/>
        <v>1.2183663242295164E-2</v>
      </c>
      <c r="AK283">
        <v>16186</v>
      </c>
      <c r="AL283">
        <v>15742</v>
      </c>
      <c r="AM283">
        <v>31928</v>
      </c>
      <c r="AN283" t="s">
        <v>43</v>
      </c>
      <c r="AO283">
        <v>0</v>
      </c>
    </row>
    <row r="284" spans="1:41" x14ac:dyDescent="0.2">
      <c r="A284" t="s">
        <v>401</v>
      </c>
      <c r="B284" s="4" t="str">
        <f t="shared" si="59"/>
        <v>58-2-6</v>
      </c>
      <c r="C284" t="s">
        <v>395</v>
      </c>
      <c r="D284" s="5" t="str">
        <f t="shared" si="60"/>
        <v>58-2</v>
      </c>
      <c r="E284" t="s">
        <v>396</v>
      </c>
      <c r="F284">
        <v>58</v>
      </c>
      <c r="G284">
        <v>9171</v>
      </c>
      <c r="H284">
        <v>9615</v>
      </c>
      <c r="I284">
        <v>74</v>
      </c>
      <c r="J284">
        <v>89</v>
      </c>
      <c r="K284">
        <v>2528</v>
      </c>
      <c r="L284">
        <v>2789</v>
      </c>
      <c r="O284">
        <v>140</v>
      </c>
      <c r="P284">
        <v>139</v>
      </c>
      <c r="S284">
        <v>258</v>
      </c>
      <c r="T284">
        <v>301</v>
      </c>
      <c r="AC284">
        <f t="shared" si="33"/>
        <v>18786</v>
      </c>
      <c r="AD284">
        <f t="shared" si="34"/>
        <v>6318</v>
      </c>
      <c r="AE284">
        <f t="shared" si="35"/>
        <v>6318</v>
      </c>
      <c r="AF284">
        <f t="shared" si="36"/>
        <v>5317</v>
      </c>
      <c r="AG284">
        <f t="shared" si="37"/>
        <v>0.33631427658894919</v>
      </c>
      <c r="AH284">
        <f t="shared" si="38"/>
        <v>0.2830299158948153</v>
      </c>
      <c r="AI284">
        <f t="shared" si="55"/>
        <v>0.21179047998406691</v>
      </c>
      <c r="AJ284">
        <f t="shared" si="56"/>
        <v>0.25166301533559055</v>
      </c>
      <c r="AK284">
        <v>12717</v>
      </c>
      <c r="AL284">
        <v>12934</v>
      </c>
      <c r="AM284">
        <v>25105</v>
      </c>
      <c r="AN284" t="s">
        <v>43</v>
      </c>
      <c r="AO284">
        <v>0</v>
      </c>
    </row>
    <row r="285" spans="1:41" x14ac:dyDescent="0.2">
      <c r="A285" t="s">
        <v>402</v>
      </c>
      <c r="B285" s="4" t="str">
        <f t="shared" si="59"/>
        <v>58-2-7</v>
      </c>
      <c r="C285" t="s">
        <v>395</v>
      </c>
      <c r="D285" s="5" t="str">
        <f t="shared" si="60"/>
        <v>58-2</v>
      </c>
      <c r="E285" t="s">
        <v>396</v>
      </c>
      <c r="F285">
        <v>58</v>
      </c>
      <c r="G285">
        <v>8594</v>
      </c>
      <c r="H285">
        <v>8997</v>
      </c>
      <c r="J285">
        <v>3</v>
      </c>
      <c r="K285">
        <v>26</v>
      </c>
      <c r="L285">
        <v>19</v>
      </c>
      <c r="AC285">
        <f t="shared" si="33"/>
        <v>17591</v>
      </c>
      <c r="AD285">
        <f t="shared" si="34"/>
        <v>48</v>
      </c>
      <c r="AE285">
        <f t="shared" si="35"/>
        <v>48</v>
      </c>
      <c r="AF285">
        <f t="shared" si="36"/>
        <v>45</v>
      </c>
      <c r="AG285">
        <f t="shared" si="37"/>
        <v>2.7286680688988689E-3</v>
      </c>
      <c r="AH285">
        <f t="shared" si="38"/>
        <v>2.5581263145926895E-3</v>
      </c>
      <c r="AI285">
        <f t="shared" si="55"/>
        <v>2.5511650320312945E-3</v>
      </c>
      <c r="AJ285">
        <f t="shared" si="56"/>
        <v>2.7212427008333805E-3</v>
      </c>
      <c r="AK285">
        <v>8620</v>
      </c>
      <c r="AL285">
        <v>9019</v>
      </c>
      <c r="AM285">
        <v>17639</v>
      </c>
      <c r="AN285" t="s">
        <v>43</v>
      </c>
      <c r="AO285">
        <v>0</v>
      </c>
    </row>
    <row r="286" spans="1:41" x14ac:dyDescent="0.2">
      <c r="A286" t="s">
        <v>403</v>
      </c>
      <c r="B286" s="4" t="str">
        <f t="shared" si="59"/>
        <v>58-2-8</v>
      </c>
      <c r="C286" t="s">
        <v>395</v>
      </c>
      <c r="D286" s="5" t="str">
        <f t="shared" si="60"/>
        <v>58-2</v>
      </c>
      <c r="E286" t="s">
        <v>396</v>
      </c>
      <c r="F286">
        <v>58</v>
      </c>
      <c r="G286">
        <v>13284</v>
      </c>
      <c r="H286">
        <v>16142</v>
      </c>
      <c r="I286">
        <v>928</v>
      </c>
      <c r="J286">
        <v>932</v>
      </c>
      <c r="K286">
        <v>487</v>
      </c>
      <c r="L286">
        <v>507</v>
      </c>
      <c r="S286">
        <v>119</v>
      </c>
      <c r="T286">
        <v>95</v>
      </c>
      <c r="AC286">
        <f t="shared" si="33"/>
        <v>29426</v>
      </c>
      <c r="AD286">
        <f t="shared" si="34"/>
        <v>3068</v>
      </c>
      <c r="AE286">
        <f t="shared" si="35"/>
        <v>3068</v>
      </c>
      <c r="AF286">
        <f t="shared" si="36"/>
        <v>994</v>
      </c>
      <c r="AG286">
        <f t="shared" si="37"/>
        <v>0.10426153741589071</v>
      </c>
      <c r="AH286">
        <f t="shared" si="38"/>
        <v>3.3779650649085842E-2</v>
      </c>
      <c r="AI286">
        <f t="shared" si="55"/>
        <v>3.0590262817750971E-2</v>
      </c>
      <c r="AJ286">
        <f t="shared" si="56"/>
        <v>9.4417430910321912E-2</v>
      </c>
      <c r="AK286">
        <v>14818</v>
      </c>
      <c r="AL286">
        <v>17676</v>
      </c>
      <c r="AM286">
        <v>32494</v>
      </c>
      <c r="AN286" t="s">
        <v>43</v>
      </c>
      <c r="AO286">
        <v>0</v>
      </c>
    </row>
    <row r="287" spans="1:41" x14ac:dyDescent="0.2">
      <c r="A287" t="s">
        <v>404</v>
      </c>
      <c r="B287" s="4" t="str">
        <f t="shared" si="59"/>
        <v>58-3-1</v>
      </c>
      <c r="C287" t="s">
        <v>405</v>
      </c>
      <c r="D287" s="5" t="str">
        <f t="shared" ref="D287:D291" si="61">F287&amp;"-"&amp;3</f>
        <v>58-3</v>
      </c>
      <c r="E287" t="s">
        <v>396</v>
      </c>
      <c r="F287">
        <v>58</v>
      </c>
      <c r="G287">
        <v>10765</v>
      </c>
      <c r="H287">
        <v>11391</v>
      </c>
      <c r="I287">
        <v>202</v>
      </c>
      <c r="J287">
        <v>206</v>
      </c>
      <c r="AC287">
        <f t="shared" si="33"/>
        <v>22156</v>
      </c>
      <c r="AD287">
        <f t="shared" si="34"/>
        <v>408</v>
      </c>
      <c r="AE287">
        <f t="shared" si="35"/>
        <v>408</v>
      </c>
      <c r="AF287">
        <f t="shared" si="36"/>
        <v>0</v>
      </c>
      <c r="AG287">
        <f t="shared" si="37"/>
        <v>1.8414876331467774E-2</v>
      </c>
      <c r="AH287">
        <f t="shared" si="38"/>
        <v>0</v>
      </c>
      <c r="AI287">
        <f t="shared" si="55"/>
        <v>0</v>
      </c>
      <c r="AJ287">
        <f t="shared" si="56"/>
        <v>1.8081900372274421E-2</v>
      </c>
      <c r="AK287">
        <v>10967</v>
      </c>
      <c r="AL287">
        <v>11597</v>
      </c>
      <c r="AM287">
        <v>22564</v>
      </c>
      <c r="AN287" t="s">
        <v>43</v>
      </c>
      <c r="AO287">
        <v>0</v>
      </c>
    </row>
    <row r="288" spans="1:41" x14ac:dyDescent="0.2">
      <c r="A288" t="s">
        <v>406</v>
      </c>
      <c r="B288" s="4" t="str">
        <f t="shared" si="59"/>
        <v>58-3-2</v>
      </c>
      <c r="C288" t="s">
        <v>405</v>
      </c>
      <c r="D288" s="5" t="str">
        <f t="shared" si="61"/>
        <v>58-3</v>
      </c>
      <c r="E288" t="s">
        <v>396</v>
      </c>
      <c r="F288">
        <v>58</v>
      </c>
      <c r="G288">
        <v>9500</v>
      </c>
      <c r="H288">
        <v>9921</v>
      </c>
      <c r="I288">
        <v>3814</v>
      </c>
      <c r="J288">
        <v>4698</v>
      </c>
      <c r="K288">
        <v>3491</v>
      </c>
      <c r="L288">
        <v>3627</v>
      </c>
      <c r="AC288">
        <f t="shared" si="33"/>
        <v>19421</v>
      </c>
      <c r="AD288">
        <f t="shared" si="34"/>
        <v>15630</v>
      </c>
      <c r="AE288">
        <f t="shared" si="35"/>
        <v>15630</v>
      </c>
      <c r="AF288">
        <f t="shared" si="36"/>
        <v>7118</v>
      </c>
      <c r="AG288">
        <f t="shared" si="37"/>
        <v>0.80479892899438754</v>
      </c>
      <c r="AH288">
        <f t="shared" si="38"/>
        <v>0.36651047834817979</v>
      </c>
      <c r="AI288">
        <f t="shared" si="55"/>
        <v>0.2030755185301418</v>
      </c>
      <c r="AJ288">
        <f t="shared" si="56"/>
        <v>0.44592165701406522</v>
      </c>
      <c r="AK288">
        <v>16805</v>
      </c>
      <c r="AL288">
        <v>18346</v>
      </c>
      <c r="AM288">
        <v>35051</v>
      </c>
      <c r="AN288" t="s">
        <v>43</v>
      </c>
      <c r="AO288" s="6">
        <v>1</v>
      </c>
    </row>
    <row r="289" spans="1:41" x14ac:dyDescent="0.2">
      <c r="A289" t="s">
        <v>407</v>
      </c>
      <c r="B289" s="4" t="str">
        <f t="shared" si="59"/>
        <v>58-3-3</v>
      </c>
      <c r="C289" t="s">
        <v>405</v>
      </c>
      <c r="D289" s="5" t="str">
        <f t="shared" si="61"/>
        <v>58-3</v>
      </c>
      <c r="E289" t="s">
        <v>396</v>
      </c>
      <c r="F289">
        <v>58</v>
      </c>
      <c r="G289">
        <v>7791</v>
      </c>
      <c r="H289">
        <v>8576</v>
      </c>
      <c r="I289">
        <v>279</v>
      </c>
      <c r="J289">
        <v>314</v>
      </c>
      <c r="K289">
        <v>24</v>
      </c>
      <c r="L289">
        <v>25</v>
      </c>
      <c r="AC289">
        <f t="shared" si="33"/>
        <v>16367</v>
      </c>
      <c r="AD289">
        <f t="shared" si="34"/>
        <v>642</v>
      </c>
      <c r="AE289">
        <f t="shared" si="35"/>
        <v>642</v>
      </c>
      <c r="AF289">
        <f t="shared" si="36"/>
        <v>49</v>
      </c>
      <c r="AG289">
        <f t="shared" si="37"/>
        <v>3.922527036109244E-2</v>
      </c>
      <c r="AH289">
        <f t="shared" si="38"/>
        <v>2.993829046251604E-3</v>
      </c>
      <c r="AI289">
        <f t="shared" si="55"/>
        <v>2.8808277970486214E-3</v>
      </c>
      <c r="AJ289">
        <f t="shared" si="56"/>
        <v>3.7744723381739079E-2</v>
      </c>
      <c r="AK289">
        <v>8094</v>
      </c>
      <c r="AL289">
        <v>8915</v>
      </c>
      <c r="AM289">
        <v>17009</v>
      </c>
      <c r="AN289" t="s">
        <v>43</v>
      </c>
      <c r="AO289">
        <v>0</v>
      </c>
    </row>
    <row r="290" spans="1:41" x14ac:dyDescent="0.2">
      <c r="A290" t="s">
        <v>408</v>
      </c>
      <c r="B290" s="4" t="str">
        <f t="shared" si="59"/>
        <v>58-3-4</v>
      </c>
      <c r="C290" t="s">
        <v>405</v>
      </c>
      <c r="D290" s="5" t="str">
        <f t="shared" si="61"/>
        <v>58-3</v>
      </c>
      <c r="E290" t="s">
        <v>396</v>
      </c>
      <c r="F290">
        <v>58</v>
      </c>
      <c r="G290">
        <v>12224</v>
      </c>
      <c r="H290">
        <v>14998</v>
      </c>
      <c r="I290">
        <v>1479</v>
      </c>
      <c r="J290">
        <v>1658</v>
      </c>
      <c r="K290">
        <v>86</v>
      </c>
      <c r="L290">
        <v>132</v>
      </c>
      <c r="AC290">
        <f t="shared" si="33"/>
        <v>27222</v>
      </c>
      <c r="AD290">
        <f t="shared" si="34"/>
        <v>3355</v>
      </c>
      <c r="AE290">
        <f t="shared" si="35"/>
        <v>3355</v>
      </c>
      <c r="AF290">
        <f t="shared" si="36"/>
        <v>218</v>
      </c>
      <c r="AG290">
        <f t="shared" si="37"/>
        <v>0.12324590404819631</v>
      </c>
      <c r="AH290">
        <f t="shared" si="38"/>
        <v>8.0082286386011312E-3</v>
      </c>
      <c r="AI290">
        <f t="shared" si="55"/>
        <v>7.1295418124734276E-3</v>
      </c>
      <c r="AJ290">
        <f t="shared" si="56"/>
        <v>0.10972299440756124</v>
      </c>
      <c r="AK290">
        <v>13789</v>
      </c>
      <c r="AL290">
        <v>16783</v>
      </c>
      <c r="AM290">
        <v>30577</v>
      </c>
      <c r="AN290" t="s">
        <v>43</v>
      </c>
      <c r="AO290">
        <v>0</v>
      </c>
    </row>
    <row r="291" spans="1:41" x14ac:dyDescent="0.2">
      <c r="A291" t="s">
        <v>409</v>
      </c>
      <c r="B291" s="4" t="str">
        <f t="shared" si="59"/>
        <v>58-3-5</v>
      </c>
      <c r="C291" t="s">
        <v>405</v>
      </c>
      <c r="D291" s="5" t="str">
        <f t="shared" si="61"/>
        <v>58-3</v>
      </c>
      <c r="E291" t="s">
        <v>396</v>
      </c>
      <c r="F291">
        <v>58</v>
      </c>
      <c r="G291">
        <v>8086</v>
      </c>
      <c r="H291">
        <v>9423</v>
      </c>
      <c r="I291">
        <v>578</v>
      </c>
      <c r="J291">
        <v>801</v>
      </c>
      <c r="K291">
        <v>4440</v>
      </c>
      <c r="L291">
        <v>5271</v>
      </c>
      <c r="AC291">
        <f t="shared" si="33"/>
        <v>17509</v>
      </c>
      <c r="AD291">
        <f t="shared" si="34"/>
        <v>11090</v>
      </c>
      <c r="AE291">
        <f t="shared" si="35"/>
        <v>11090</v>
      </c>
      <c r="AF291">
        <f t="shared" si="36"/>
        <v>9711</v>
      </c>
      <c r="AG291">
        <f t="shared" si="37"/>
        <v>0.63338854303501058</v>
      </c>
      <c r="AH291">
        <f t="shared" si="38"/>
        <v>0.55462904791821344</v>
      </c>
      <c r="AI291">
        <f t="shared" si="55"/>
        <v>0.33955732717927201</v>
      </c>
      <c r="AJ291">
        <f t="shared" si="56"/>
        <v>0.38777579635651599</v>
      </c>
      <c r="AK291">
        <v>13104</v>
      </c>
      <c r="AL291">
        <v>15495</v>
      </c>
      <c r="AM291">
        <v>28599</v>
      </c>
      <c r="AN291" t="s">
        <v>43</v>
      </c>
      <c r="AO291">
        <v>0</v>
      </c>
    </row>
    <row r="292" spans="1:41" x14ac:dyDescent="0.2">
      <c r="A292" t="s">
        <v>410</v>
      </c>
      <c r="B292" s="4" t="str">
        <f t="shared" si="59"/>
        <v>58-1-1</v>
      </c>
      <c r="C292" t="s">
        <v>411</v>
      </c>
      <c r="D292" s="5" t="str">
        <f t="shared" ref="D292:D300" si="62">F292&amp;"-"&amp;1</f>
        <v>58-1</v>
      </c>
      <c r="E292" t="s">
        <v>396</v>
      </c>
      <c r="F292">
        <v>58</v>
      </c>
      <c r="G292">
        <v>7923</v>
      </c>
      <c r="H292">
        <v>8678</v>
      </c>
      <c r="K292">
        <v>1113</v>
      </c>
      <c r="L292">
        <v>1163</v>
      </c>
      <c r="S292">
        <v>27</v>
      </c>
      <c r="T292">
        <v>26</v>
      </c>
      <c r="AC292">
        <f t="shared" si="33"/>
        <v>16601</v>
      </c>
      <c r="AD292">
        <f t="shared" si="34"/>
        <v>2329</v>
      </c>
      <c r="AE292">
        <f t="shared" si="35"/>
        <v>2329</v>
      </c>
      <c r="AF292">
        <f t="shared" si="36"/>
        <v>2276</v>
      </c>
      <c r="AG292">
        <f t="shared" si="37"/>
        <v>0.14029275344858744</v>
      </c>
      <c r="AH292">
        <f t="shared" si="38"/>
        <v>0.13710017468827179</v>
      </c>
      <c r="AI292">
        <f t="shared" si="55"/>
        <v>0.1202324352879028</v>
      </c>
      <c r="AJ292">
        <f t="shared" si="56"/>
        <v>0.12303222398309561</v>
      </c>
      <c r="AK292">
        <v>9063</v>
      </c>
      <c r="AL292">
        <v>9867</v>
      </c>
      <c r="AM292">
        <v>18930</v>
      </c>
      <c r="AN292" t="s">
        <v>43</v>
      </c>
      <c r="AO292">
        <v>0</v>
      </c>
    </row>
    <row r="293" spans="1:41" x14ac:dyDescent="0.2">
      <c r="A293" t="s">
        <v>412</v>
      </c>
      <c r="B293" s="4" t="str">
        <f t="shared" si="59"/>
        <v>58-1-2</v>
      </c>
      <c r="C293" t="s">
        <v>411</v>
      </c>
      <c r="D293" s="5" t="str">
        <f t="shared" si="62"/>
        <v>58-1</v>
      </c>
      <c r="E293" t="s">
        <v>396</v>
      </c>
      <c r="F293">
        <v>58</v>
      </c>
      <c r="G293">
        <v>12158</v>
      </c>
      <c r="H293">
        <v>13020</v>
      </c>
      <c r="K293">
        <v>3853</v>
      </c>
      <c r="L293">
        <v>4133</v>
      </c>
      <c r="AC293">
        <f t="shared" si="33"/>
        <v>25178</v>
      </c>
      <c r="AD293">
        <f t="shared" si="34"/>
        <v>7986</v>
      </c>
      <c r="AE293">
        <f t="shared" si="35"/>
        <v>7986</v>
      </c>
      <c r="AF293">
        <f t="shared" si="36"/>
        <v>7986</v>
      </c>
      <c r="AG293">
        <f t="shared" si="37"/>
        <v>0.31718166653427593</v>
      </c>
      <c r="AH293">
        <f t="shared" si="38"/>
        <v>0.31718166653427593</v>
      </c>
      <c r="AI293">
        <f t="shared" si="55"/>
        <v>0.24080328066578216</v>
      </c>
      <c r="AJ293">
        <f t="shared" si="56"/>
        <v>0.24080328066578216</v>
      </c>
      <c r="AK293">
        <v>16011</v>
      </c>
      <c r="AL293">
        <v>17153</v>
      </c>
      <c r="AM293">
        <v>33164</v>
      </c>
      <c r="AN293" t="s">
        <v>43</v>
      </c>
      <c r="AO293">
        <v>0</v>
      </c>
    </row>
    <row r="294" spans="1:41" x14ac:dyDescent="0.2">
      <c r="A294" t="s">
        <v>413</v>
      </c>
      <c r="B294" s="4" t="str">
        <f t="shared" si="59"/>
        <v>58-1-3</v>
      </c>
      <c r="C294" t="s">
        <v>411</v>
      </c>
      <c r="D294" s="5" t="str">
        <f t="shared" si="62"/>
        <v>58-1</v>
      </c>
      <c r="E294" t="s">
        <v>396</v>
      </c>
      <c r="F294">
        <v>58</v>
      </c>
      <c r="G294">
        <v>27389</v>
      </c>
      <c r="H294">
        <v>34153</v>
      </c>
      <c r="I294">
        <v>304</v>
      </c>
      <c r="J294">
        <v>313</v>
      </c>
      <c r="K294">
        <v>1493</v>
      </c>
      <c r="L294">
        <v>1548</v>
      </c>
      <c r="S294">
        <v>20</v>
      </c>
      <c r="T294">
        <v>27</v>
      </c>
      <c r="AC294">
        <f t="shared" si="33"/>
        <v>61542</v>
      </c>
      <c r="AD294">
        <f t="shared" si="34"/>
        <v>3705</v>
      </c>
      <c r="AE294">
        <f t="shared" si="35"/>
        <v>3705</v>
      </c>
      <c r="AF294">
        <f t="shared" si="36"/>
        <v>3041</v>
      </c>
      <c r="AG294">
        <f t="shared" si="37"/>
        <v>6.0202788339670466E-2</v>
      </c>
      <c r="AH294">
        <f t="shared" si="38"/>
        <v>4.9413408728998083E-2</v>
      </c>
      <c r="AI294">
        <f t="shared" si="55"/>
        <v>4.861943818248677E-2</v>
      </c>
      <c r="AJ294">
        <f t="shared" si="56"/>
        <v>5.9235454937886713E-2</v>
      </c>
      <c r="AK294">
        <v>29206</v>
      </c>
      <c r="AL294">
        <v>33341</v>
      </c>
      <c r="AM294">
        <v>62547</v>
      </c>
      <c r="AN294" t="s">
        <v>43</v>
      </c>
      <c r="AO294">
        <v>0</v>
      </c>
    </row>
    <row r="295" spans="1:41" x14ac:dyDescent="0.2">
      <c r="A295" t="s">
        <v>414</v>
      </c>
      <c r="B295" s="4" t="str">
        <f t="shared" si="59"/>
        <v>58-1-4</v>
      </c>
      <c r="C295" t="s">
        <v>411</v>
      </c>
      <c r="D295" s="5" t="str">
        <f t="shared" si="62"/>
        <v>58-1</v>
      </c>
      <c r="E295" t="s">
        <v>396</v>
      </c>
      <c r="F295">
        <v>58</v>
      </c>
      <c r="G295">
        <v>5671</v>
      </c>
      <c r="H295">
        <v>5980</v>
      </c>
      <c r="J295">
        <v>3</v>
      </c>
      <c r="K295">
        <v>3006</v>
      </c>
      <c r="L295">
        <v>3152</v>
      </c>
      <c r="O295">
        <v>178</v>
      </c>
      <c r="P295">
        <v>169</v>
      </c>
      <c r="S295">
        <v>240</v>
      </c>
      <c r="T295">
        <v>256</v>
      </c>
      <c r="AC295">
        <f t="shared" si="33"/>
        <v>11651</v>
      </c>
      <c r="AD295">
        <f t="shared" si="34"/>
        <v>7004</v>
      </c>
      <c r="AE295">
        <f t="shared" si="35"/>
        <v>7004</v>
      </c>
      <c r="AF295">
        <f t="shared" si="36"/>
        <v>6158</v>
      </c>
      <c r="AG295">
        <f t="shared" si="37"/>
        <v>0.60115011586988243</v>
      </c>
      <c r="AH295">
        <f t="shared" si="38"/>
        <v>0.52853832289073899</v>
      </c>
      <c r="AI295">
        <f t="shared" si="55"/>
        <v>0.33009916912355936</v>
      </c>
      <c r="AJ295">
        <f t="shared" si="56"/>
        <v>0.37544894130259981</v>
      </c>
      <c r="AK295">
        <v>9095</v>
      </c>
      <c r="AL295">
        <v>9560</v>
      </c>
      <c r="AM295">
        <v>18655</v>
      </c>
      <c r="AN295" t="s">
        <v>43</v>
      </c>
      <c r="AO295">
        <v>0</v>
      </c>
    </row>
    <row r="296" spans="1:41" x14ac:dyDescent="0.2">
      <c r="A296" t="s">
        <v>415</v>
      </c>
      <c r="B296" s="4" t="str">
        <f t="shared" si="59"/>
        <v>58-1-5</v>
      </c>
      <c r="C296" t="s">
        <v>411</v>
      </c>
      <c r="D296" s="5" t="str">
        <f t="shared" si="62"/>
        <v>58-1</v>
      </c>
      <c r="E296" t="s">
        <v>396</v>
      </c>
      <c r="F296">
        <v>58</v>
      </c>
      <c r="G296">
        <v>16448</v>
      </c>
      <c r="H296">
        <v>16061</v>
      </c>
      <c r="K296">
        <v>5526</v>
      </c>
      <c r="L296">
        <v>5369</v>
      </c>
      <c r="AC296">
        <f t="shared" si="33"/>
        <v>32509</v>
      </c>
      <c r="AD296">
        <f t="shared" si="34"/>
        <v>10895</v>
      </c>
      <c r="AE296">
        <f t="shared" si="35"/>
        <v>10895</v>
      </c>
      <c r="AF296">
        <f t="shared" si="36"/>
        <v>10895</v>
      </c>
      <c r="AG296">
        <f t="shared" si="37"/>
        <v>0.33513796179519517</v>
      </c>
      <c r="AH296">
        <f t="shared" si="38"/>
        <v>0.33513796179519517</v>
      </c>
      <c r="AI296">
        <f t="shared" si="55"/>
        <v>0.25101373145332229</v>
      </c>
      <c r="AJ296">
        <f t="shared" si="56"/>
        <v>0.25101373145332229</v>
      </c>
      <c r="AK296">
        <v>21974</v>
      </c>
      <c r="AL296">
        <v>21430</v>
      </c>
      <c r="AM296">
        <v>43404</v>
      </c>
      <c r="AN296" t="s">
        <v>43</v>
      </c>
      <c r="AO296">
        <v>0</v>
      </c>
    </row>
    <row r="297" spans="1:41" x14ac:dyDescent="0.2">
      <c r="A297" t="s">
        <v>416</v>
      </c>
      <c r="B297" s="4" t="str">
        <f t="shared" si="59"/>
        <v>58-1-6</v>
      </c>
      <c r="C297" t="s">
        <v>411</v>
      </c>
      <c r="D297" s="5" t="str">
        <f t="shared" si="62"/>
        <v>58-1</v>
      </c>
      <c r="E297" t="s">
        <v>396</v>
      </c>
      <c r="F297">
        <v>58</v>
      </c>
      <c r="G297">
        <v>14666</v>
      </c>
      <c r="H297">
        <v>16253</v>
      </c>
      <c r="K297">
        <v>5669</v>
      </c>
      <c r="L297">
        <v>6288</v>
      </c>
      <c r="AC297">
        <f t="shared" si="33"/>
        <v>30919</v>
      </c>
      <c r="AD297">
        <f t="shared" si="34"/>
        <v>11957</v>
      </c>
      <c r="AE297">
        <f t="shared" si="35"/>
        <v>11957</v>
      </c>
      <c r="AF297">
        <f t="shared" si="36"/>
        <v>11957</v>
      </c>
      <c r="AG297">
        <f t="shared" si="37"/>
        <v>0.38672013971991331</v>
      </c>
      <c r="AH297">
        <f t="shared" si="38"/>
        <v>0.38672013971991331</v>
      </c>
      <c r="AI297">
        <f t="shared" si="55"/>
        <v>0.27887396212333238</v>
      </c>
      <c r="AJ297">
        <f t="shared" si="56"/>
        <v>0.27887396212333238</v>
      </c>
      <c r="AK297">
        <v>20335</v>
      </c>
      <c r="AL297">
        <v>22541</v>
      </c>
      <c r="AM297">
        <v>42876</v>
      </c>
      <c r="AN297" t="s">
        <v>43</v>
      </c>
      <c r="AO297">
        <v>0</v>
      </c>
    </row>
    <row r="298" spans="1:41" x14ac:dyDescent="0.2">
      <c r="A298" t="s">
        <v>417</v>
      </c>
      <c r="B298" s="4" t="str">
        <f t="shared" si="59"/>
        <v>58-1-7</v>
      </c>
      <c r="C298" t="s">
        <v>411</v>
      </c>
      <c r="D298" s="5" t="str">
        <f t="shared" si="62"/>
        <v>58-1</v>
      </c>
      <c r="E298" t="s">
        <v>396</v>
      </c>
      <c r="F298">
        <v>58</v>
      </c>
      <c r="G298">
        <v>31934</v>
      </c>
      <c r="H298">
        <v>33762</v>
      </c>
      <c r="I298">
        <v>290</v>
      </c>
      <c r="J298">
        <v>252</v>
      </c>
      <c r="K298">
        <v>9990</v>
      </c>
      <c r="L298">
        <v>10456</v>
      </c>
      <c r="O298">
        <v>808</v>
      </c>
      <c r="P298">
        <v>874</v>
      </c>
      <c r="S298">
        <v>44</v>
      </c>
      <c r="T298">
        <v>55</v>
      </c>
      <c r="AC298">
        <f t="shared" si="33"/>
        <v>65696</v>
      </c>
      <c r="AD298">
        <f t="shared" si="34"/>
        <v>22769</v>
      </c>
      <c r="AE298">
        <f t="shared" si="35"/>
        <v>22769</v>
      </c>
      <c r="AF298">
        <f t="shared" si="36"/>
        <v>20446</v>
      </c>
      <c r="AG298">
        <f t="shared" si="37"/>
        <v>0.3465812226010716</v>
      </c>
      <c r="AH298">
        <f t="shared" si="38"/>
        <v>0.31122138334145155</v>
      </c>
      <c r="AI298">
        <f t="shared" si="55"/>
        <v>0.23111965183971062</v>
      </c>
      <c r="AJ298">
        <f t="shared" si="56"/>
        <v>0.25737862431470071</v>
      </c>
      <c r="AK298">
        <v>43066</v>
      </c>
      <c r="AL298">
        <v>45399</v>
      </c>
      <c r="AM298">
        <v>88465</v>
      </c>
      <c r="AN298" t="s">
        <v>43</v>
      </c>
      <c r="AO298" s="6">
        <v>1</v>
      </c>
    </row>
    <row r="299" spans="1:41" x14ac:dyDescent="0.2">
      <c r="A299" t="s">
        <v>418</v>
      </c>
      <c r="B299" s="4" t="str">
        <f t="shared" si="59"/>
        <v>58-1-8</v>
      </c>
      <c r="C299" t="s">
        <v>411</v>
      </c>
      <c r="D299" s="5" t="str">
        <f t="shared" si="62"/>
        <v>58-1</v>
      </c>
      <c r="E299" t="s">
        <v>396</v>
      </c>
      <c r="F299">
        <v>58</v>
      </c>
      <c r="G299">
        <v>15627</v>
      </c>
      <c r="H299">
        <v>17070</v>
      </c>
      <c r="I299">
        <v>11</v>
      </c>
      <c r="J299">
        <v>14</v>
      </c>
      <c r="K299">
        <v>421</v>
      </c>
      <c r="L299">
        <v>468</v>
      </c>
      <c r="AC299">
        <f t="shared" si="33"/>
        <v>32697</v>
      </c>
      <c r="AD299">
        <f t="shared" si="34"/>
        <v>914</v>
      </c>
      <c r="AE299">
        <f t="shared" si="35"/>
        <v>914</v>
      </c>
      <c r="AF299">
        <f t="shared" si="36"/>
        <v>889</v>
      </c>
      <c r="AG299">
        <f t="shared" si="37"/>
        <v>2.7953634890051076E-2</v>
      </c>
      <c r="AH299">
        <f t="shared" si="38"/>
        <v>2.7189038749732393E-2</v>
      </c>
      <c r="AI299">
        <f t="shared" si="55"/>
        <v>2.6449674213799054E-2</v>
      </c>
      <c r="AJ299">
        <f t="shared" si="56"/>
        <v>2.7193478325548182E-2</v>
      </c>
      <c r="AK299">
        <v>16059</v>
      </c>
      <c r="AL299">
        <v>17552</v>
      </c>
      <c r="AM299">
        <v>33611</v>
      </c>
      <c r="AN299" t="s">
        <v>43</v>
      </c>
      <c r="AO299">
        <v>0</v>
      </c>
    </row>
    <row r="300" spans="1:41" x14ac:dyDescent="0.2">
      <c r="A300" t="s">
        <v>419</v>
      </c>
      <c r="B300" s="4" t="str">
        <f t="shared" si="59"/>
        <v>58-1-9</v>
      </c>
      <c r="C300" t="s">
        <v>411</v>
      </c>
      <c r="D300" s="5" t="str">
        <f t="shared" si="62"/>
        <v>58-1</v>
      </c>
      <c r="E300" t="s">
        <v>396</v>
      </c>
      <c r="F300">
        <v>58</v>
      </c>
      <c r="G300">
        <v>16711</v>
      </c>
      <c r="H300">
        <v>18849</v>
      </c>
      <c r="I300">
        <v>1297</v>
      </c>
      <c r="J300">
        <v>1350</v>
      </c>
      <c r="K300">
        <v>1940</v>
      </c>
      <c r="L300">
        <v>2149</v>
      </c>
      <c r="S300">
        <v>37</v>
      </c>
      <c r="T300">
        <v>30</v>
      </c>
      <c r="AC300">
        <f t="shared" si="33"/>
        <v>35560</v>
      </c>
      <c r="AD300">
        <f t="shared" si="34"/>
        <v>6803</v>
      </c>
      <c r="AE300">
        <f t="shared" si="35"/>
        <v>6803</v>
      </c>
      <c r="AF300">
        <f t="shared" si="36"/>
        <v>4089</v>
      </c>
      <c r="AG300">
        <f t="shared" si="37"/>
        <v>0.19131046119235096</v>
      </c>
      <c r="AH300">
        <f t="shared" si="38"/>
        <v>0.11498875140607424</v>
      </c>
      <c r="AI300">
        <f t="shared" si="55"/>
        <v>9.6522909142412017E-2</v>
      </c>
      <c r="AJ300">
        <f t="shared" si="56"/>
        <v>0.16058824917970871</v>
      </c>
      <c r="AK300">
        <v>19985</v>
      </c>
      <c r="AL300">
        <v>22378</v>
      </c>
      <c r="AM300">
        <v>42363</v>
      </c>
      <c r="AN300" t="s">
        <v>43</v>
      </c>
      <c r="AO300">
        <v>0</v>
      </c>
    </row>
    <row r="301" spans="1:41" x14ac:dyDescent="0.2">
      <c r="A301" t="s">
        <v>420</v>
      </c>
      <c r="B301" s="4" t="str">
        <f t="shared" si="59"/>
        <v>58-4-1</v>
      </c>
      <c r="C301" t="s">
        <v>421</v>
      </c>
      <c r="D301" s="5" t="str">
        <f t="shared" ref="D301:D304" si="63">F301&amp;"-"&amp;4</f>
        <v>58-4</v>
      </c>
      <c r="E301" t="s">
        <v>396</v>
      </c>
      <c r="F301">
        <v>58</v>
      </c>
      <c r="G301">
        <v>17329</v>
      </c>
      <c r="H301">
        <v>18346</v>
      </c>
      <c r="I301">
        <v>1843</v>
      </c>
      <c r="J301">
        <v>1855</v>
      </c>
      <c r="K301">
        <v>790</v>
      </c>
      <c r="L301">
        <v>851</v>
      </c>
      <c r="Y301">
        <v>46</v>
      </c>
      <c r="Z301">
        <v>65</v>
      </c>
      <c r="AC301">
        <f t="shared" si="33"/>
        <v>35675</v>
      </c>
      <c r="AD301">
        <f t="shared" si="34"/>
        <v>5339</v>
      </c>
      <c r="AE301">
        <f t="shared" si="35"/>
        <v>5339</v>
      </c>
      <c r="AF301">
        <f t="shared" si="36"/>
        <v>1641</v>
      </c>
      <c r="AG301">
        <f t="shared" si="37"/>
        <v>0.14965662228451296</v>
      </c>
      <c r="AH301">
        <f t="shared" si="38"/>
        <v>4.5998598458304132E-2</v>
      </c>
      <c r="AI301">
        <f t="shared" si="55"/>
        <v>3.9902735562310034E-2</v>
      </c>
      <c r="AJ301">
        <f t="shared" si="56"/>
        <v>0.12982370820668693</v>
      </c>
      <c r="AK301">
        <v>20008</v>
      </c>
      <c r="AL301">
        <v>21117</v>
      </c>
      <c r="AM301">
        <v>41125</v>
      </c>
      <c r="AN301" t="s">
        <v>43</v>
      </c>
      <c r="AO301">
        <v>0</v>
      </c>
    </row>
    <row r="302" spans="1:41" x14ac:dyDescent="0.2">
      <c r="A302" t="s">
        <v>422</v>
      </c>
      <c r="B302" s="4" t="str">
        <f t="shared" si="59"/>
        <v>58-4-2</v>
      </c>
      <c r="C302" t="s">
        <v>421</v>
      </c>
      <c r="D302" s="5" t="str">
        <f t="shared" si="63"/>
        <v>58-4</v>
      </c>
      <c r="E302" t="s">
        <v>396</v>
      </c>
      <c r="F302">
        <v>58</v>
      </c>
      <c r="G302">
        <v>7571</v>
      </c>
      <c r="H302">
        <v>8863</v>
      </c>
      <c r="I302">
        <v>946</v>
      </c>
      <c r="J302">
        <v>1081</v>
      </c>
      <c r="K302">
        <v>826</v>
      </c>
      <c r="L302">
        <v>1002</v>
      </c>
      <c r="AC302">
        <f t="shared" si="33"/>
        <v>16434</v>
      </c>
      <c r="AD302">
        <f t="shared" si="34"/>
        <v>3855</v>
      </c>
      <c r="AE302">
        <f t="shared" si="35"/>
        <v>3855</v>
      </c>
      <c r="AF302">
        <f t="shared" si="36"/>
        <v>1828</v>
      </c>
      <c r="AG302">
        <f t="shared" si="37"/>
        <v>0.23457466228550566</v>
      </c>
      <c r="AH302">
        <f t="shared" si="38"/>
        <v>0.11123281002799075</v>
      </c>
      <c r="AI302">
        <f t="shared" si="55"/>
        <v>9.0098082704913998E-2</v>
      </c>
      <c r="AJ302">
        <f t="shared" si="56"/>
        <v>0.19000443590122726</v>
      </c>
      <c r="AK302">
        <v>9343</v>
      </c>
      <c r="AL302">
        <v>10946</v>
      </c>
      <c r="AM302">
        <v>20289</v>
      </c>
      <c r="AN302" t="s">
        <v>43</v>
      </c>
      <c r="AO302">
        <v>0</v>
      </c>
    </row>
    <row r="303" spans="1:41" x14ac:dyDescent="0.2">
      <c r="A303" t="s">
        <v>423</v>
      </c>
      <c r="B303" s="4" t="str">
        <f t="shared" si="59"/>
        <v>58-4-3</v>
      </c>
      <c r="C303" t="s">
        <v>421</v>
      </c>
      <c r="D303" s="5" t="str">
        <f t="shared" si="63"/>
        <v>58-4</v>
      </c>
      <c r="E303" t="s">
        <v>396</v>
      </c>
      <c r="F303">
        <v>58</v>
      </c>
      <c r="G303">
        <v>30818</v>
      </c>
      <c r="H303">
        <v>34526</v>
      </c>
      <c r="I303">
        <v>1079</v>
      </c>
      <c r="J303">
        <v>1088</v>
      </c>
      <c r="K303">
        <v>4277</v>
      </c>
      <c r="L303">
        <v>4921</v>
      </c>
      <c r="O303">
        <v>370</v>
      </c>
      <c r="P303">
        <v>351</v>
      </c>
      <c r="Q303">
        <v>104</v>
      </c>
      <c r="R303">
        <v>105</v>
      </c>
      <c r="S303">
        <v>16</v>
      </c>
      <c r="T303">
        <v>21</v>
      </c>
      <c r="Y303">
        <v>129</v>
      </c>
      <c r="Z303">
        <v>141</v>
      </c>
      <c r="AA303">
        <v>20</v>
      </c>
      <c r="AB303">
        <v>20</v>
      </c>
      <c r="AC303">
        <f t="shared" si="33"/>
        <v>65344</v>
      </c>
      <c r="AD303">
        <f t="shared" si="34"/>
        <v>12123</v>
      </c>
      <c r="AE303">
        <f t="shared" si="35"/>
        <v>12332</v>
      </c>
      <c r="AF303">
        <f t="shared" si="36"/>
        <v>9198</v>
      </c>
      <c r="AG303">
        <f t="shared" si="37"/>
        <v>0.18552583251714005</v>
      </c>
      <c r="AH303">
        <f t="shared" si="38"/>
        <v>0.14076273261508326</v>
      </c>
      <c r="AI303">
        <f t="shared" si="55"/>
        <v>0.11794424640320057</v>
      </c>
      <c r="AJ303">
        <f t="shared" si="56"/>
        <v>0.15545097838073502</v>
      </c>
      <c r="AK303">
        <v>36813</v>
      </c>
      <c r="AL303">
        <v>41173</v>
      </c>
      <c r="AM303">
        <v>77986</v>
      </c>
      <c r="AN303" t="s">
        <v>43</v>
      </c>
      <c r="AO303" s="6">
        <v>1</v>
      </c>
    </row>
    <row r="304" spans="1:41" x14ac:dyDescent="0.2">
      <c r="A304" t="s">
        <v>424</v>
      </c>
      <c r="B304" s="4" t="str">
        <f t="shared" si="59"/>
        <v>58-4-4</v>
      </c>
      <c r="C304" t="s">
        <v>421</v>
      </c>
      <c r="D304" s="5" t="str">
        <f t="shared" si="63"/>
        <v>58-4</v>
      </c>
      <c r="E304" t="s">
        <v>396</v>
      </c>
      <c r="F304">
        <v>58</v>
      </c>
      <c r="G304">
        <v>23011</v>
      </c>
      <c r="H304">
        <v>25447</v>
      </c>
      <c r="I304">
        <v>26</v>
      </c>
      <c r="J304">
        <v>23</v>
      </c>
      <c r="K304">
        <v>964</v>
      </c>
      <c r="L304">
        <v>1054</v>
      </c>
      <c r="AC304">
        <f t="shared" si="33"/>
        <v>48458</v>
      </c>
      <c r="AD304">
        <f t="shared" si="34"/>
        <v>2067</v>
      </c>
      <c r="AE304">
        <f t="shared" si="35"/>
        <v>2067</v>
      </c>
      <c r="AF304">
        <f t="shared" si="36"/>
        <v>2018</v>
      </c>
      <c r="AG304">
        <f t="shared" si="37"/>
        <v>4.2655495480622398E-2</v>
      </c>
      <c r="AH304">
        <f t="shared" si="38"/>
        <v>4.1644310536959842E-2</v>
      </c>
      <c r="AI304">
        <f t="shared" si="55"/>
        <v>3.9940623453735773E-2</v>
      </c>
      <c r="AJ304">
        <f t="shared" si="56"/>
        <v>4.091044037605146E-2</v>
      </c>
      <c r="AK304">
        <v>24001</v>
      </c>
      <c r="AL304">
        <v>26524</v>
      </c>
      <c r="AM304">
        <v>50525</v>
      </c>
      <c r="AN304" t="s">
        <v>43</v>
      </c>
      <c r="AO304">
        <v>0</v>
      </c>
    </row>
    <row r="305" spans="1:41" x14ac:dyDescent="0.2">
      <c r="A305" t="s">
        <v>425</v>
      </c>
      <c r="B305" s="4" t="str">
        <f t="shared" si="59"/>
        <v>61-2-1</v>
      </c>
      <c r="C305" t="s">
        <v>426</v>
      </c>
      <c r="D305" s="5" t="str">
        <f t="shared" ref="D305:D310" si="64">F305&amp;"-"&amp;2</f>
        <v>61-2</v>
      </c>
      <c r="E305" t="s">
        <v>427</v>
      </c>
      <c r="F305">
        <v>61</v>
      </c>
      <c r="G305">
        <v>19200</v>
      </c>
      <c r="H305">
        <v>19736</v>
      </c>
      <c r="I305">
        <v>11068</v>
      </c>
      <c r="J305">
        <v>11766</v>
      </c>
      <c r="K305">
        <v>466</v>
      </c>
      <c r="L305">
        <v>546</v>
      </c>
      <c r="AA305">
        <v>2</v>
      </c>
      <c r="AB305">
        <v>7</v>
      </c>
      <c r="AC305">
        <f t="shared" si="33"/>
        <v>38936</v>
      </c>
      <c r="AD305">
        <f t="shared" si="34"/>
        <v>23846</v>
      </c>
      <c r="AE305">
        <f t="shared" si="35"/>
        <v>23846</v>
      </c>
      <c r="AF305">
        <f t="shared" si="36"/>
        <v>1012</v>
      </c>
      <c r="AG305">
        <f t="shared" si="37"/>
        <v>0.61244092870351341</v>
      </c>
      <c r="AH305">
        <f t="shared" si="38"/>
        <v>2.5991370454078486E-2</v>
      </c>
      <c r="AI305">
        <f t="shared" si="55"/>
        <v>3.4490750207898792E-3</v>
      </c>
      <c r="AJ305">
        <f t="shared" si="56"/>
        <v>8.127138631003504E-2</v>
      </c>
      <c r="AK305">
        <v>140742</v>
      </c>
      <c r="AL305">
        <v>152670</v>
      </c>
      <c r="AM305">
        <v>293412</v>
      </c>
      <c r="AN305" t="s">
        <v>43</v>
      </c>
      <c r="AO305">
        <v>0</v>
      </c>
    </row>
    <row r="306" spans="1:41" x14ac:dyDescent="0.2">
      <c r="A306" t="s">
        <v>428</v>
      </c>
      <c r="B306" s="4" t="str">
        <f t="shared" si="59"/>
        <v>61-2-2</v>
      </c>
      <c r="C306" t="s">
        <v>426</v>
      </c>
      <c r="D306" s="5" t="str">
        <f t="shared" si="64"/>
        <v>61-2</v>
      </c>
      <c r="E306" t="s">
        <v>427</v>
      </c>
      <c r="F306">
        <v>61</v>
      </c>
      <c r="G306">
        <v>15502</v>
      </c>
      <c r="H306">
        <v>17917</v>
      </c>
      <c r="I306">
        <v>15297</v>
      </c>
      <c r="J306">
        <v>17628</v>
      </c>
      <c r="K306">
        <v>454</v>
      </c>
      <c r="L306">
        <v>709</v>
      </c>
      <c r="O306">
        <v>41</v>
      </c>
      <c r="P306">
        <v>23</v>
      </c>
      <c r="R306">
        <v>5</v>
      </c>
      <c r="S306">
        <v>25</v>
      </c>
      <c r="T306">
        <v>23</v>
      </c>
      <c r="AC306">
        <f t="shared" si="33"/>
        <v>33419</v>
      </c>
      <c r="AD306">
        <f t="shared" si="34"/>
        <v>34200</v>
      </c>
      <c r="AE306">
        <f t="shared" si="35"/>
        <v>34205</v>
      </c>
      <c r="AF306">
        <f t="shared" si="36"/>
        <v>1163</v>
      </c>
      <c r="AG306">
        <f t="shared" si="37"/>
        <v>1.0233699392561117</v>
      </c>
      <c r="AH306">
        <f t="shared" si="38"/>
        <v>3.4800562554235616E-2</v>
      </c>
      <c r="AI306">
        <f t="shared" si="55"/>
        <v>1.9095939444690738E-2</v>
      </c>
      <c r="AJ306">
        <f t="shared" si="56"/>
        <v>0.56154869218265113</v>
      </c>
      <c r="AK306">
        <v>29044</v>
      </c>
      <c r="AL306">
        <v>31859</v>
      </c>
      <c r="AM306">
        <v>60903</v>
      </c>
      <c r="AN306" t="s">
        <v>43</v>
      </c>
      <c r="AO306" s="6">
        <v>1</v>
      </c>
    </row>
    <row r="307" spans="1:41" x14ac:dyDescent="0.2">
      <c r="A307" t="s">
        <v>429</v>
      </c>
      <c r="B307" s="4" t="str">
        <f t="shared" si="59"/>
        <v>61-2-3</v>
      </c>
      <c r="C307" t="s">
        <v>426</v>
      </c>
      <c r="D307" s="5" t="str">
        <f t="shared" si="64"/>
        <v>61-2</v>
      </c>
      <c r="E307" t="s">
        <v>427</v>
      </c>
      <c r="F307">
        <v>61</v>
      </c>
      <c r="G307">
        <v>22684</v>
      </c>
      <c r="H307">
        <v>24913</v>
      </c>
      <c r="I307">
        <v>1497</v>
      </c>
      <c r="J307">
        <v>1617</v>
      </c>
      <c r="K307">
        <v>4670</v>
      </c>
      <c r="L307">
        <v>5105</v>
      </c>
      <c r="S307">
        <v>193</v>
      </c>
      <c r="T307">
        <v>224</v>
      </c>
      <c r="AC307">
        <f t="shared" si="33"/>
        <v>47597</v>
      </c>
      <c r="AD307">
        <f t="shared" si="34"/>
        <v>13306</v>
      </c>
      <c r="AE307">
        <f t="shared" si="35"/>
        <v>13306</v>
      </c>
      <c r="AF307">
        <f t="shared" si="36"/>
        <v>9775</v>
      </c>
      <c r="AG307">
        <f t="shared" si="37"/>
        <v>0.27955543416601886</v>
      </c>
      <c r="AH307">
        <f t="shared" si="38"/>
        <v>0.20537008634998005</v>
      </c>
      <c r="AI307">
        <f t="shared" si="55"/>
        <v>0.19303684979659544</v>
      </c>
      <c r="AJ307">
        <f t="shared" si="56"/>
        <v>0.26276709190726333</v>
      </c>
      <c r="AK307">
        <v>24791</v>
      </c>
      <c r="AL307">
        <v>25847</v>
      </c>
      <c r="AM307">
        <v>50638</v>
      </c>
      <c r="AN307" t="s">
        <v>43</v>
      </c>
      <c r="AO307">
        <v>0</v>
      </c>
    </row>
    <row r="308" spans="1:41" x14ac:dyDescent="0.2">
      <c r="A308" t="s">
        <v>430</v>
      </c>
      <c r="B308" s="4" t="str">
        <f t="shared" si="59"/>
        <v>61-2-4</v>
      </c>
      <c r="C308" t="s">
        <v>426</v>
      </c>
      <c r="D308" s="5" t="str">
        <f t="shared" si="64"/>
        <v>61-2</v>
      </c>
      <c r="E308" t="s">
        <v>427</v>
      </c>
      <c r="F308">
        <v>61</v>
      </c>
      <c r="G308">
        <v>13739</v>
      </c>
      <c r="H308">
        <v>14156</v>
      </c>
      <c r="I308">
        <v>706</v>
      </c>
      <c r="J308">
        <v>946</v>
      </c>
      <c r="K308">
        <v>354</v>
      </c>
      <c r="L308">
        <v>448</v>
      </c>
      <c r="AC308">
        <f t="shared" si="33"/>
        <v>27895</v>
      </c>
      <c r="AD308">
        <f t="shared" si="34"/>
        <v>2454</v>
      </c>
      <c r="AE308">
        <f t="shared" si="35"/>
        <v>2454</v>
      </c>
      <c r="AF308">
        <f t="shared" si="36"/>
        <v>802</v>
      </c>
      <c r="AG308">
        <f t="shared" si="37"/>
        <v>8.7972754974009679E-2</v>
      </c>
      <c r="AH308">
        <f t="shared" si="38"/>
        <v>2.8750672163470156E-2</v>
      </c>
      <c r="AI308">
        <f t="shared" si="55"/>
        <v>3.7996873075283079E-2</v>
      </c>
      <c r="AJ308">
        <f t="shared" si="56"/>
        <v>0.1162647462926991</v>
      </c>
      <c r="AK308">
        <v>10053</v>
      </c>
      <c r="AL308">
        <v>11054</v>
      </c>
      <c r="AM308">
        <v>21107</v>
      </c>
      <c r="AN308" t="s">
        <v>43</v>
      </c>
      <c r="AO308">
        <v>0</v>
      </c>
    </row>
    <row r="309" spans="1:41" x14ac:dyDescent="0.2">
      <c r="A309" t="s">
        <v>431</v>
      </c>
      <c r="B309" s="4" t="str">
        <f t="shared" si="59"/>
        <v>61-2-5</v>
      </c>
      <c r="C309" t="s">
        <v>426</v>
      </c>
      <c r="D309" s="5" t="str">
        <f t="shared" si="64"/>
        <v>61-2</v>
      </c>
      <c r="E309" t="s">
        <v>427</v>
      </c>
      <c r="F309">
        <v>61</v>
      </c>
      <c r="G309">
        <v>9085</v>
      </c>
      <c r="H309">
        <v>9953</v>
      </c>
      <c r="I309">
        <v>205</v>
      </c>
      <c r="J309">
        <v>223</v>
      </c>
      <c r="K309">
        <v>763</v>
      </c>
      <c r="L309">
        <v>878</v>
      </c>
      <c r="AC309">
        <f t="shared" si="33"/>
        <v>19038</v>
      </c>
      <c r="AD309">
        <f t="shared" si="34"/>
        <v>2069</v>
      </c>
      <c r="AE309">
        <f t="shared" si="35"/>
        <v>2069</v>
      </c>
      <c r="AF309">
        <f t="shared" si="36"/>
        <v>1641</v>
      </c>
      <c r="AG309">
        <f t="shared" si="37"/>
        <v>0.10867738207794936</v>
      </c>
      <c r="AH309">
        <f t="shared" si="38"/>
        <v>8.6196028994642293E-2</v>
      </c>
      <c r="AI309">
        <f t="shared" si="55"/>
        <v>2.6138065050492178E-2</v>
      </c>
      <c r="AJ309">
        <f t="shared" si="56"/>
        <v>3.2955305660858206E-2</v>
      </c>
      <c r="AK309">
        <v>30734</v>
      </c>
      <c r="AL309">
        <v>32048</v>
      </c>
      <c r="AM309">
        <v>62782</v>
      </c>
      <c r="AN309" t="s">
        <v>43</v>
      </c>
      <c r="AO309">
        <v>0</v>
      </c>
    </row>
    <row r="310" spans="1:41" x14ac:dyDescent="0.2">
      <c r="A310" t="s">
        <v>432</v>
      </c>
      <c r="B310" s="4" t="str">
        <f t="shared" si="59"/>
        <v>61-2-6</v>
      </c>
      <c r="C310" t="s">
        <v>426</v>
      </c>
      <c r="D310" s="5" t="str">
        <f t="shared" si="64"/>
        <v>61-2</v>
      </c>
      <c r="E310" t="s">
        <v>427</v>
      </c>
      <c r="F310">
        <v>61</v>
      </c>
      <c r="G310">
        <v>21348</v>
      </c>
      <c r="H310">
        <v>21960</v>
      </c>
      <c r="I310">
        <v>1781</v>
      </c>
      <c r="J310">
        <v>1914</v>
      </c>
      <c r="K310">
        <v>1662</v>
      </c>
      <c r="L310">
        <v>1973</v>
      </c>
      <c r="AA310">
        <v>2</v>
      </c>
      <c r="AB310">
        <v>7</v>
      </c>
      <c r="AC310">
        <f t="shared" si="33"/>
        <v>43308</v>
      </c>
      <c r="AD310">
        <f t="shared" si="34"/>
        <v>7330</v>
      </c>
      <c r="AE310">
        <f t="shared" si="35"/>
        <v>7330</v>
      </c>
      <c r="AF310">
        <f t="shared" si="36"/>
        <v>3635</v>
      </c>
      <c r="AG310">
        <f t="shared" si="37"/>
        <v>0.16925279394107323</v>
      </c>
      <c r="AH310">
        <f t="shared" si="38"/>
        <v>8.393368430774914E-2</v>
      </c>
      <c r="AI310">
        <f t="shared" si="55"/>
        <v>0.11973779563871138</v>
      </c>
      <c r="AJ310">
        <f t="shared" si="56"/>
        <v>0.24145200606100534</v>
      </c>
      <c r="AK310">
        <v>14801</v>
      </c>
      <c r="AL310">
        <v>15557</v>
      </c>
      <c r="AM310">
        <v>30358</v>
      </c>
      <c r="AN310" t="s">
        <v>43</v>
      </c>
      <c r="AO310">
        <v>0</v>
      </c>
    </row>
    <row r="311" spans="1:41" x14ac:dyDescent="0.2">
      <c r="A311" t="s">
        <v>433</v>
      </c>
      <c r="B311" s="4" t="str">
        <f t="shared" si="59"/>
        <v>61-4-1</v>
      </c>
      <c r="C311" t="s">
        <v>434</v>
      </c>
      <c r="D311" s="5" t="str">
        <f t="shared" ref="D311:D314" si="65">F311&amp;"-"&amp;4</f>
        <v>61-4</v>
      </c>
      <c r="E311" t="s">
        <v>427</v>
      </c>
      <c r="F311">
        <v>61</v>
      </c>
      <c r="G311">
        <v>10200</v>
      </c>
      <c r="H311">
        <v>11756</v>
      </c>
      <c r="I311">
        <v>2666</v>
      </c>
      <c r="J311">
        <v>2793</v>
      </c>
      <c r="K311">
        <v>514</v>
      </c>
      <c r="L311">
        <v>638</v>
      </c>
      <c r="AC311">
        <f t="shared" si="33"/>
        <v>21956</v>
      </c>
      <c r="AD311">
        <f t="shared" si="34"/>
        <v>6611</v>
      </c>
      <c r="AE311">
        <f t="shared" si="35"/>
        <v>6611</v>
      </c>
      <c r="AF311">
        <f t="shared" si="36"/>
        <v>1152</v>
      </c>
      <c r="AG311">
        <f t="shared" si="37"/>
        <v>0.30110220440881763</v>
      </c>
      <c r="AH311">
        <f t="shared" si="38"/>
        <v>5.246857351065768E-2</v>
      </c>
      <c r="AI311">
        <f t="shared" si="55"/>
        <v>4.0326250568838172E-2</v>
      </c>
      <c r="AJ311">
        <f t="shared" si="56"/>
        <v>0.23142087023488642</v>
      </c>
      <c r="AK311">
        <v>13880</v>
      </c>
      <c r="AL311">
        <v>15187</v>
      </c>
      <c r="AM311">
        <v>28567</v>
      </c>
      <c r="AN311" t="s">
        <v>43</v>
      </c>
      <c r="AO311" s="6">
        <v>1</v>
      </c>
    </row>
    <row r="312" spans="1:41" x14ac:dyDescent="0.2">
      <c r="A312" t="s">
        <v>435</v>
      </c>
      <c r="B312" s="4" t="str">
        <f t="shared" si="59"/>
        <v>61-4-2</v>
      </c>
      <c r="C312" t="s">
        <v>434</v>
      </c>
      <c r="D312" s="5" t="str">
        <f t="shared" si="65"/>
        <v>61-4</v>
      </c>
      <c r="E312" t="s">
        <v>427</v>
      </c>
      <c r="F312">
        <v>61</v>
      </c>
      <c r="G312">
        <v>11059</v>
      </c>
      <c r="H312">
        <v>12191</v>
      </c>
      <c r="I312">
        <v>163</v>
      </c>
      <c r="J312">
        <v>141</v>
      </c>
      <c r="K312">
        <v>58</v>
      </c>
      <c r="L312">
        <v>55</v>
      </c>
      <c r="AC312">
        <f t="shared" si="33"/>
        <v>23250</v>
      </c>
      <c r="AD312">
        <f t="shared" si="34"/>
        <v>417</v>
      </c>
      <c r="AE312">
        <f t="shared" si="35"/>
        <v>417</v>
      </c>
      <c r="AF312">
        <f t="shared" si="36"/>
        <v>113</v>
      </c>
      <c r="AG312">
        <f t="shared" si="37"/>
        <v>1.7935483870967741E-2</v>
      </c>
      <c r="AH312">
        <f t="shared" si="38"/>
        <v>4.8602150537634409E-3</v>
      </c>
      <c r="AI312">
        <f t="shared" si="55"/>
        <v>4.7745806397092999E-3</v>
      </c>
      <c r="AJ312">
        <f t="shared" si="56"/>
        <v>1.7619470148307771E-2</v>
      </c>
      <c r="AK312">
        <v>11280</v>
      </c>
      <c r="AL312">
        <v>12387</v>
      </c>
      <c r="AM312">
        <v>23667</v>
      </c>
      <c r="AN312" t="s">
        <v>43</v>
      </c>
      <c r="AO312">
        <v>0</v>
      </c>
    </row>
    <row r="313" spans="1:41" x14ac:dyDescent="0.2">
      <c r="A313" t="s">
        <v>436</v>
      </c>
      <c r="B313" s="4" t="str">
        <f t="shared" si="59"/>
        <v>61-4-3</v>
      </c>
      <c r="C313" t="s">
        <v>434</v>
      </c>
      <c r="D313" s="5" t="str">
        <f t="shared" si="65"/>
        <v>61-4</v>
      </c>
      <c r="E313" t="s">
        <v>427</v>
      </c>
      <c r="F313">
        <v>61</v>
      </c>
      <c r="G313">
        <v>7115</v>
      </c>
      <c r="H313">
        <v>7406</v>
      </c>
      <c r="I313">
        <v>834</v>
      </c>
      <c r="J313">
        <v>892</v>
      </c>
      <c r="K313">
        <v>100</v>
      </c>
      <c r="L313">
        <v>121</v>
      </c>
      <c r="AC313">
        <f t="shared" si="33"/>
        <v>14521</v>
      </c>
      <c r="AD313">
        <f t="shared" si="34"/>
        <v>1947</v>
      </c>
      <c r="AE313">
        <f t="shared" si="35"/>
        <v>1947</v>
      </c>
      <c r="AF313">
        <f t="shared" si="36"/>
        <v>221</v>
      </c>
      <c r="AG313">
        <f t="shared" si="37"/>
        <v>0.13408167481578404</v>
      </c>
      <c r="AH313">
        <f t="shared" si="38"/>
        <v>1.521933751119069E-2</v>
      </c>
      <c r="AI313">
        <f t="shared" si="55"/>
        <v>1.3419965994656302E-2</v>
      </c>
      <c r="AJ313">
        <f t="shared" si="56"/>
        <v>0.11822929317464173</v>
      </c>
      <c r="AK313">
        <v>8049</v>
      </c>
      <c r="AL313">
        <v>8419</v>
      </c>
      <c r="AM313">
        <v>16468</v>
      </c>
      <c r="AN313" t="s">
        <v>43</v>
      </c>
      <c r="AO313">
        <v>0</v>
      </c>
    </row>
    <row r="314" spans="1:41" x14ac:dyDescent="0.2">
      <c r="A314" t="s">
        <v>437</v>
      </c>
      <c r="B314" s="4" t="str">
        <f t="shared" si="59"/>
        <v>61-4-4</v>
      </c>
      <c r="C314" t="s">
        <v>434</v>
      </c>
      <c r="D314" s="5" t="str">
        <f t="shared" si="65"/>
        <v>61-4</v>
      </c>
      <c r="E314" t="s">
        <v>427</v>
      </c>
      <c r="F314">
        <v>61</v>
      </c>
      <c r="G314">
        <v>9001</v>
      </c>
      <c r="H314">
        <v>10457</v>
      </c>
      <c r="I314">
        <v>8000</v>
      </c>
      <c r="J314">
        <v>8679</v>
      </c>
      <c r="AC314">
        <f t="shared" si="33"/>
        <v>19458</v>
      </c>
      <c r="AD314">
        <f t="shared" si="34"/>
        <v>16679</v>
      </c>
      <c r="AE314">
        <f t="shared" si="35"/>
        <v>16679</v>
      </c>
      <c r="AF314">
        <f t="shared" si="36"/>
        <v>0</v>
      </c>
      <c r="AG314">
        <f t="shared" si="37"/>
        <v>0.85717956624524616</v>
      </c>
      <c r="AH314">
        <f t="shared" si="38"/>
        <v>0</v>
      </c>
      <c r="AI314">
        <f t="shared" si="55"/>
        <v>0</v>
      </c>
      <c r="AJ314">
        <f t="shared" si="56"/>
        <v>0.46154910479563882</v>
      </c>
      <c r="AK314">
        <v>17001</v>
      </c>
      <c r="AL314">
        <v>19136</v>
      </c>
      <c r="AM314">
        <v>36137</v>
      </c>
      <c r="AN314" t="s">
        <v>43</v>
      </c>
      <c r="AO314">
        <v>0</v>
      </c>
    </row>
    <row r="315" spans="1:41" x14ac:dyDescent="0.2">
      <c r="A315" t="s">
        <v>438</v>
      </c>
      <c r="B315" s="4" t="str">
        <f t="shared" si="59"/>
        <v>61-3-1</v>
      </c>
      <c r="C315" t="s">
        <v>439</v>
      </c>
      <c r="D315" s="5" t="str">
        <f t="shared" ref="D315:D317" si="66">F315&amp;"-"&amp;3</f>
        <v>61-3</v>
      </c>
      <c r="E315" t="s">
        <v>427</v>
      </c>
      <c r="F315">
        <v>61</v>
      </c>
      <c r="G315">
        <v>15046</v>
      </c>
      <c r="H315">
        <v>14305</v>
      </c>
      <c r="J315">
        <v>52</v>
      </c>
      <c r="K315">
        <v>2</v>
      </c>
      <c r="L315">
        <v>5</v>
      </c>
      <c r="AC315">
        <f t="shared" si="33"/>
        <v>29351</v>
      </c>
      <c r="AD315">
        <f t="shared" si="34"/>
        <v>59</v>
      </c>
      <c r="AE315">
        <f t="shared" si="35"/>
        <v>59</v>
      </c>
      <c r="AF315">
        <f t="shared" si="36"/>
        <v>7</v>
      </c>
      <c r="AG315">
        <f t="shared" si="37"/>
        <v>2.0101529760485162E-3</v>
      </c>
      <c r="AH315">
        <f t="shared" si="38"/>
        <v>2.3849272597185786E-4</v>
      </c>
      <c r="AI315">
        <f t="shared" si="55"/>
        <v>2.3801428085685141E-4</v>
      </c>
      <c r="AJ315">
        <f t="shared" si="56"/>
        <v>2.0061203672220333E-3</v>
      </c>
      <c r="AK315">
        <v>15048</v>
      </c>
      <c r="AL315">
        <v>14362</v>
      </c>
      <c r="AM315">
        <v>29410</v>
      </c>
      <c r="AN315" t="s">
        <v>43</v>
      </c>
      <c r="AO315">
        <v>0</v>
      </c>
    </row>
    <row r="316" spans="1:41" x14ac:dyDescent="0.2">
      <c r="A316" t="s">
        <v>440</v>
      </c>
      <c r="B316" s="4" t="str">
        <f t="shared" si="59"/>
        <v>61-3-2</v>
      </c>
      <c r="C316" t="s">
        <v>439</v>
      </c>
      <c r="D316" s="5" t="str">
        <f t="shared" si="66"/>
        <v>61-3</v>
      </c>
      <c r="E316" t="s">
        <v>427</v>
      </c>
      <c r="F316">
        <v>61</v>
      </c>
      <c r="G316">
        <v>17246</v>
      </c>
      <c r="H316">
        <v>16192</v>
      </c>
      <c r="K316">
        <v>20</v>
      </c>
      <c r="L316">
        <v>22</v>
      </c>
      <c r="AC316">
        <f t="shared" si="33"/>
        <v>33438</v>
      </c>
      <c r="AD316">
        <f t="shared" si="34"/>
        <v>42</v>
      </c>
      <c r="AE316">
        <f t="shared" si="35"/>
        <v>42</v>
      </c>
      <c r="AF316">
        <f t="shared" si="36"/>
        <v>42</v>
      </c>
      <c r="AG316">
        <f t="shared" si="37"/>
        <v>1.256055984209582E-3</v>
      </c>
      <c r="AH316">
        <f t="shared" si="38"/>
        <v>1.256055984209582E-3</v>
      </c>
      <c r="AI316">
        <f t="shared" si="55"/>
        <v>1.2544802867383513E-3</v>
      </c>
      <c r="AJ316">
        <f t="shared" si="56"/>
        <v>1.2544802867383513E-3</v>
      </c>
      <c r="AK316">
        <v>17266</v>
      </c>
      <c r="AL316">
        <v>16214</v>
      </c>
      <c r="AM316">
        <v>33480</v>
      </c>
      <c r="AN316" t="s">
        <v>43</v>
      </c>
      <c r="AO316">
        <v>0</v>
      </c>
    </row>
    <row r="317" spans="1:41" x14ac:dyDescent="0.2">
      <c r="A317" t="s">
        <v>441</v>
      </c>
      <c r="B317" s="4" t="str">
        <f t="shared" si="59"/>
        <v>61-3-3</v>
      </c>
      <c r="C317" t="s">
        <v>439</v>
      </c>
      <c r="D317" s="5" t="str">
        <f t="shared" si="66"/>
        <v>61-3</v>
      </c>
      <c r="E317" t="s">
        <v>427</v>
      </c>
      <c r="F317">
        <v>61</v>
      </c>
      <c r="G317">
        <v>31595</v>
      </c>
      <c r="H317">
        <v>41154</v>
      </c>
      <c r="I317">
        <v>308</v>
      </c>
      <c r="J317">
        <v>333</v>
      </c>
      <c r="AC317">
        <f t="shared" si="33"/>
        <v>72749</v>
      </c>
      <c r="AD317">
        <f t="shared" si="34"/>
        <v>641</v>
      </c>
      <c r="AE317">
        <f t="shared" si="35"/>
        <v>641</v>
      </c>
      <c r="AF317">
        <f t="shared" si="36"/>
        <v>0</v>
      </c>
      <c r="AG317">
        <f t="shared" si="37"/>
        <v>8.8111176785935202E-3</v>
      </c>
      <c r="AH317">
        <f t="shared" si="38"/>
        <v>0</v>
      </c>
      <c r="AI317">
        <f t="shared" si="55"/>
        <v>0</v>
      </c>
      <c r="AJ317">
        <f t="shared" si="56"/>
        <v>8.7341599672979969E-3</v>
      </c>
      <c r="AK317">
        <v>31903</v>
      </c>
      <c r="AL317">
        <v>41487</v>
      </c>
      <c r="AM317">
        <v>73390</v>
      </c>
      <c r="AN317" t="s">
        <v>43</v>
      </c>
      <c r="AO317" s="6">
        <v>1</v>
      </c>
    </row>
    <row r="318" spans="1:41" x14ac:dyDescent="0.2">
      <c r="A318" t="s">
        <v>442</v>
      </c>
      <c r="B318" s="4" t="str">
        <f t="shared" si="59"/>
        <v>61-1-1</v>
      </c>
      <c r="C318" t="s">
        <v>443</v>
      </c>
      <c r="D318" s="5" t="str">
        <f t="shared" ref="D318:D326" si="67">F318&amp;"-"&amp;1</f>
        <v>61-1</v>
      </c>
      <c r="E318" t="s">
        <v>427</v>
      </c>
      <c r="F318">
        <v>61</v>
      </c>
      <c r="G318">
        <v>19062</v>
      </c>
      <c r="H318">
        <v>19742</v>
      </c>
      <c r="I318">
        <v>1838</v>
      </c>
      <c r="J318">
        <v>1997</v>
      </c>
      <c r="K318">
        <v>1367</v>
      </c>
      <c r="L318">
        <v>1591</v>
      </c>
      <c r="AC318">
        <f t="shared" si="33"/>
        <v>38804</v>
      </c>
      <c r="AD318">
        <f t="shared" si="34"/>
        <v>6793</v>
      </c>
      <c r="AE318">
        <f t="shared" si="35"/>
        <v>6793</v>
      </c>
      <c r="AF318">
        <f t="shared" si="36"/>
        <v>2958</v>
      </c>
      <c r="AG318">
        <f t="shared" si="37"/>
        <v>0.17505927223997525</v>
      </c>
      <c r="AH318">
        <f t="shared" si="38"/>
        <v>7.6229254716008665E-2</v>
      </c>
      <c r="AI318">
        <f t="shared" si="55"/>
        <v>6.4872688992696895E-2</v>
      </c>
      <c r="AJ318">
        <f t="shared" si="56"/>
        <v>0.14897909950216023</v>
      </c>
      <c r="AK318">
        <v>22267</v>
      </c>
      <c r="AL318">
        <v>23330</v>
      </c>
      <c r="AM318">
        <v>45597</v>
      </c>
      <c r="AN318" t="s">
        <v>43</v>
      </c>
      <c r="AO318">
        <v>0</v>
      </c>
    </row>
    <row r="319" spans="1:41" x14ac:dyDescent="0.2">
      <c r="A319" t="s">
        <v>444</v>
      </c>
      <c r="B319" s="4" t="str">
        <f t="shared" si="59"/>
        <v>61-1-2</v>
      </c>
      <c r="C319" t="s">
        <v>443</v>
      </c>
      <c r="D319" s="5" t="str">
        <f t="shared" si="67"/>
        <v>61-1</v>
      </c>
      <c r="E319" t="s">
        <v>427</v>
      </c>
      <c r="F319">
        <v>61</v>
      </c>
      <c r="G319">
        <v>27877</v>
      </c>
      <c r="H319">
        <v>28907</v>
      </c>
      <c r="I319">
        <v>5118</v>
      </c>
      <c r="J319">
        <v>6251</v>
      </c>
      <c r="K319">
        <v>610</v>
      </c>
      <c r="L319">
        <v>629</v>
      </c>
      <c r="AC319">
        <f t="shared" si="33"/>
        <v>56784</v>
      </c>
      <c r="AD319">
        <f t="shared" si="34"/>
        <v>12608</v>
      </c>
      <c r="AE319">
        <f t="shared" si="35"/>
        <v>12608</v>
      </c>
      <c r="AF319">
        <f t="shared" si="36"/>
        <v>1239</v>
      </c>
      <c r="AG319">
        <f t="shared" si="37"/>
        <v>0.22203437588052974</v>
      </c>
      <c r="AH319">
        <f t="shared" si="38"/>
        <v>2.1819526627218935E-2</v>
      </c>
      <c r="AI319">
        <f t="shared" si="55"/>
        <v>1.7855084159557298E-2</v>
      </c>
      <c r="AJ319">
        <f t="shared" si="56"/>
        <v>0.18169241411113674</v>
      </c>
      <c r="AK319">
        <v>33605</v>
      </c>
      <c r="AL319">
        <v>35787</v>
      </c>
      <c r="AM319">
        <v>69392</v>
      </c>
      <c r="AN319" t="s">
        <v>43</v>
      </c>
      <c r="AO319">
        <v>0</v>
      </c>
    </row>
    <row r="320" spans="1:41" x14ac:dyDescent="0.2">
      <c r="A320" t="s">
        <v>445</v>
      </c>
      <c r="B320" s="4" t="str">
        <f t="shared" si="59"/>
        <v>61-1-3</v>
      </c>
      <c r="C320" t="s">
        <v>443</v>
      </c>
      <c r="D320" s="5" t="str">
        <f t="shared" si="67"/>
        <v>61-1</v>
      </c>
      <c r="E320" t="s">
        <v>427</v>
      </c>
      <c r="F320">
        <v>61</v>
      </c>
      <c r="G320">
        <v>14584</v>
      </c>
      <c r="H320">
        <v>14889</v>
      </c>
      <c r="I320">
        <v>331</v>
      </c>
      <c r="J320">
        <v>377</v>
      </c>
      <c r="K320">
        <v>99</v>
      </c>
      <c r="L320">
        <v>82</v>
      </c>
      <c r="AC320">
        <f t="shared" si="33"/>
        <v>29473</v>
      </c>
      <c r="AD320">
        <f t="shared" si="34"/>
        <v>889</v>
      </c>
      <c r="AE320">
        <f t="shared" si="35"/>
        <v>889</v>
      </c>
      <c r="AF320">
        <f t="shared" si="36"/>
        <v>181</v>
      </c>
      <c r="AG320">
        <f t="shared" si="37"/>
        <v>3.0163200217147898E-2</v>
      </c>
      <c r="AH320">
        <f t="shared" si="38"/>
        <v>6.1412139924676822E-3</v>
      </c>
      <c r="AI320">
        <f t="shared" si="55"/>
        <v>5.9613991173176999E-3</v>
      </c>
      <c r="AJ320">
        <f t="shared" si="56"/>
        <v>2.9280021078980305E-2</v>
      </c>
      <c r="AK320">
        <v>15014</v>
      </c>
      <c r="AL320">
        <v>15348</v>
      </c>
      <c r="AM320">
        <v>30362</v>
      </c>
      <c r="AN320" t="s">
        <v>43</v>
      </c>
      <c r="AO320">
        <v>0</v>
      </c>
    </row>
    <row r="321" spans="1:41" x14ac:dyDescent="0.2">
      <c r="A321" t="s">
        <v>446</v>
      </c>
      <c r="B321" s="4" t="str">
        <f t="shared" si="59"/>
        <v>61-1-4</v>
      </c>
      <c r="C321" t="s">
        <v>443</v>
      </c>
      <c r="D321" s="5" t="str">
        <f t="shared" si="67"/>
        <v>61-1</v>
      </c>
      <c r="E321" t="s">
        <v>427</v>
      </c>
      <c r="F321">
        <v>61</v>
      </c>
      <c r="G321">
        <v>30163</v>
      </c>
      <c r="H321">
        <v>29697</v>
      </c>
      <c r="I321">
        <v>351</v>
      </c>
      <c r="J321">
        <v>446</v>
      </c>
      <c r="AC321">
        <f t="shared" si="33"/>
        <v>59860</v>
      </c>
      <c r="AD321">
        <f t="shared" si="34"/>
        <v>797</v>
      </c>
      <c r="AE321">
        <f t="shared" si="35"/>
        <v>797</v>
      </c>
      <c r="AF321">
        <f t="shared" si="36"/>
        <v>0</v>
      </c>
      <c r="AG321">
        <f t="shared" si="37"/>
        <v>1.3314400267290345E-2</v>
      </c>
      <c r="AH321">
        <f t="shared" si="38"/>
        <v>0</v>
      </c>
      <c r="AI321">
        <f t="shared" si="55"/>
        <v>0</v>
      </c>
      <c r="AJ321">
        <f t="shared" si="56"/>
        <v>1.3139456286990784E-2</v>
      </c>
      <c r="AK321">
        <v>30514</v>
      </c>
      <c r="AL321">
        <v>30143</v>
      </c>
      <c r="AM321">
        <v>60657</v>
      </c>
      <c r="AN321" t="s">
        <v>43</v>
      </c>
      <c r="AO321">
        <v>0</v>
      </c>
    </row>
    <row r="322" spans="1:41" x14ac:dyDescent="0.2">
      <c r="A322" t="s">
        <v>447</v>
      </c>
      <c r="B322" s="4" t="str">
        <f t="shared" si="59"/>
        <v>61-1-5</v>
      </c>
      <c r="C322" t="s">
        <v>443</v>
      </c>
      <c r="D322" s="5" t="str">
        <f t="shared" si="67"/>
        <v>61-1</v>
      </c>
      <c r="E322" t="s">
        <v>427</v>
      </c>
      <c r="F322">
        <v>61</v>
      </c>
      <c r="G322">
        <v>39596</v>
      </c>
      <c r="H322">
        <v>40175</v>
      </c>
      <c r="I322">
        <v>4702</v>
      </c>
      <c r="J322">
        <v>5696</v>
      </c>
      <c r="K322">
        <v>3586</v>
      </c>
      <c r="L322">
        <v>3966</v>
      </c>
      <c r="S322">
        <v>146</v>
      </c>
      <c r="T322">
        <v>142</v>
      </c>
      <c r="AC322">
        <f t="shared" si="33"/>
        <v>79771</v>
      </c>
      <c r="AD322">
        <f t="shared" si="34"/>
        <v>18238</v>
      </c>
      <c r="AE322">
        <f t="shared" si="35"/>
        <v>18238</v>
      </c>
      <c r="AF322">
        <f t="shared" si="36"/>
        <v>7552</v>
      </c>
      <c r="AG322">
        <f t="shared" si="37"/>
        <v>0.22862945180579408</v>
      </c>
      <c r="AH322">
        <f t="shared" si="38"/>
        <v>9.4670995725263565E-2</v>
      </c>
      <c r="AI322">
        <f t="shared" si="55"/>
        <v>7.7054148088440855E-2</v>
      </c>
      <c r="AJ322">
        <f t="shared" si="56"/>
        <v>0.18608495138201595</v>
      </c>
      <c r="AK322">
        <v>48030</v>
      </c>
      <c r="AL322">
        <v>49979</v>
      </c>
      <c r="AM322">
        <v>98009</v>
      </c>
      <c r="AN322" t="s">
        <v>43</v>
      </c>
      <c r="AO322">
        <v>0</v>
      </c>
    </row>
    <row r="323" spans="1:41" x14ac:dyDescent="0.2">
      <c r="A323" t="s">
        <v>448</v>
      </c>
      <c r="B323" s="4" t="str">
        <f t="shared" si="59"/>
        <v>61-1-6</v>
      </c>
      <c r="C323" t="s">
        <v>443</v>
      </c>
      <c r="D323" s="5" t="str">
        <f t="shared" si="67"/>
        <v>61-1</v>
      </c>
      <c r="E323" t="s">
        <v>427</v>
      </c>
      <c r="F323">
        <v>61</v>
      </c>
      <c r="G323">
        <v>15003</v>
      </c>
      <c r="H323">
        <v>20926</v>
      </c>
      <c r="I323">
        <v>2339</v>
      </c>
      <c r="J323">
        <v>2624</v>
      </c>
      <c r="K323">
        <v>71</v>
      </c>
      <c r="L323">
        <v>107</v>
      </c>
      <c r="AC323">
        <f t="shared" si="33"/>
        <v>35929</v>
      </c>
      <c r="AD323">
        <f t="shared" si="34"/>
        <v>5141</v>
      </c>
      <c r="AE323">
        <f t="shared" si="35"/>
        <v>5141</v>
      </c>
      <c r="AF323">
        <f t="shared" si="36"/>
        <v>178</v>
      </c>
      <c r="AG323">
        <f t="shared" si="37"/>
        <v>0.14308775640847227</v>
      </c>
      <c r="AH323">
        <f t="shared" si="38"/>
        <v>4.9542152578696871E-3</v>
      </c>
      <c r="AI323">
        <f t="shared" si="55"/>
        <v>4.3340637935232532E-3</v>
      </c>
      <c r="AJ323">
        <f t="shared" si="56"/>
        <v>0.12517652787923059</v>
      </c>
      <c r="AK323">
        <v>17413</v>
      </c>
      <c r="AL323">
        <v>23657</v>
      </c>
      <c r="AM323">
        <v>41070</v>
      </c>
      <c r="AN323" t="s">
        <v>43</v>
      </c>
      <c r="AO323">
        <v>0</v>
      </c>
    </row>
    <row r="324" spans="1:41" x14ac:dyDescent="0.2">
      <c r="A324" t="s">
        <v>449</v>
      </c>
      <c r="B324" s="4" t="str">
        <f t="shared" si="59"/>
        <v>61-1-7</v>
      </c>
      <c r="C324" t="s">
        <v>443</v>
      </c>
      <c r="D324" s="5" t="str">
        <f t="shared" si="67"/>
        <v>61-1</v>
      </c>
      <c r="E324" t="s">
        <v>427</v>
      </c>
      <c r="F324">
        <v>61</v>
      </c>
      <c r="G324">
        <v>16622</v>
      </c>
      <c r="H324">
        <v>17607</v>
      </c>
      <c r="I324">
        <v>2659</v>
      </c>
      <c r="J324">
        <v>3213</v>
      </c>
      <c r="K324">
        <v>232</v>
      </c>
      <c r="L324">
        <v>281</v>
      </c>
      <c r="AC324">
        <f t="shared" si="33"/>
        <v>34229</v>
      </c>
      <c r="AD324">
        <f t="shared" si="34"/>
        <v>6385</v>
      </c>
      <c r="AE324">
        <f t="shared" si="35"/>
        <v>6385</v>
      </c>
      <c r="AF324">
        <f t="shared" si="36"/>
        <v>513</v>
      </c>
      <c r="AG324">
        <f t="shared" si="37"/>
        <v>0.18653773116363317</v>
      </c>
      <c r="AH324">
        <f t="shared" si="38"/>
        <v>1.4987291477986503E-2</v>
      </c>
      <c r="AI324">
        <f t="shared" si="55"/>
        <v>1.2631112424287192E-2</v>
      </c>
      <c r="AJ324">
        <f t="shared" si="56"/>
        <v>0.15721179888708328</v>
      </c>
      <c r="AK324">
        <v>19513</v>
      </c>
      <c r="AL324">
        <v>21101</v>
      </c>
      <c r="AM324">
        <v>40614</v>
      </c>
      <c r="AN324" t="s">
        <v>43</v>
      </c>
      <c r="AO324">
        <v>0</v>
      </c>
    </row>
    <row r="325" spans="1:41" x14ac:dyDescent="0.2">
      <c r="A325" t="s">
        <v>450</v>
      </c>
      <c r="B325" s="4" t="str">
        <f t="shared" si="59"/>
        <v>61-1-8</v>
      </c>
      <c r="C325" t="s">
        <v>443</v>
      </c>
      <c r="D325" s="5" t="str">
        <f t="shared" si="67"/>
        <v>61-1</v>
      </c>
      <c r="E325" t="s">
        <v>427</v>
      </c>
      <c r="F325">
        <v>61</v>
      </c>
      <c r="G325">
        <v>37091</v>
      </c>
      <c r="H325">
        <v>42038</v>
      </c>
      <c r="I325">
        <v>13027</v>
      </c>
      <c r="J325">
        <v>14561</v>
      </c>
      <c r="K325">
        <v>4440</v>
      </c>
      <c r="L325">
        <v>5106</v>
      </c>
      <c r="O325">
        <v>588</v>
      </c>
      <c r="P325">
        <v>621</v>
      </c>
      <c r="S325">
        <v>41</v>
      </c>
      <c r="T325">
        <v>51</v>
      </c>
      <c r="AC325">
        <f t="shared" si="33"/>
        <v>79129</v>
      </c>
      <c r="AD325">
        <f t="shared" si="34"/>
        <v>38435</v>
      </c>
      <c r="AE325">
        <f t="shared" si="35"/>
        <v>38435</v>
      </c>
      <c r="AF325">
        <f t="shared" si="36"/>
        <v>9546</v>
      </c>
      <c r="AG325">
        <f t="shared" si="37"/>
        <v>0.48572584008391362</v>
      </c>
      <c r="AH325">
        <f t="shared" si="38"/>
        <v>0.12063845113675138</v>
      </c>
      <c r="AI325">
        <f t="shared" si="55"/>
        <v>8.1198326018168829E-2</v>
      </c>
      <c r="AJ325">
        <f t="shared" si="56"/>
        <v>0.32692831138783979</v>
      </c>
      <c r="AK325">
        <v>55187</v>
      </c>
      <c r="AL325">
        <v>62377</v>
      </c>
      <c r="AM325">
        <v>117564</v>
      </c>
      <c r="AN325" t="s">
        <v>43</v>
      </c>
      <c r="AO325" s="6">
        <v>1</v>
      </c>
    </row>
    <row r="326" spans="1:41" x14ac:dyDescent="0.2">
      <c r="A326" t="s">
        <v>451</v>
      </c>
      <c r="B326" s="4" t="str">
        <f t="shared" si="59"/>
        <v>61-1-9</v>
      </c>
      <c r="C326" t="s">
        <v>443</v>
      </c>
      <c r="D326" s="5" t="str">
        <f t="shared" si="67"/>
        <v>61-1</v>
      </c>
      <c r="E326" t="s">
        <v>427</v>
      </c>
      <c r="F326">
        <v>61</v>
      </c>
      <c r="G326">
        <v>9080</v>
      </c>
      <c r="H326">
        <v>9305</v>
      </c>
      <c r="K326">
        <v>29</v>
      </c>
      <c r="L326">
        <v>27</v>
      </c>
      <c r="AC326">
        <f t="shared" si="33"/>
        <v>18385</v>
      </c>
      <c r="AD326">
        <f t="shared" si="34"/>
        <v>56</v>
      </c>
      <c r="AE326">
        <f t="shared" si="35"/>
        <v>56</v>
      </c>
      <c r="AF326">
        <f t="shared" si="36"/>
        <v>56</v>
      </c>
      <c r="AG326">
        <f t="shared" si="37"/>
        <v>3.0459613815610551E-3</v>
      </c>
      <c r="AH326">
        <f t="shared" si="38"/>
        <v>3.0459613815610551E-3</v>
      </c>
      <c r="AI326">
        <f t="shared" si="55"/>
        <v>3.0367116750718509E-3</v>
      </c>
      <c r="AJ326">
        <f t="shared" si="56"/>
        <v>3.0367116750718509E-3</v>
      </c>
      <c r="AK326">
        <v>9109</v>
      </c>
      <c r="AL326">
        <v>9332</v>
      </c>
      <c r="AM326">
        <v>18441</v>
      </c>
      <c r="AN326" t="s">
        <v>43</v>
      </c>
      <c r="AO326">
        <v>0</v>
      </c>
    </row>
    <row r="327" spans="1:41" x14ac:dyDescent="0.2">
      <c r="A327" s="10" t="s">
        <v>452</v>
      </c>
      <c r="B327" s="4" t="str">
        <f t="shared" si="59"/>
        <v>65-2-1</v>
      </c>
      <c r="C327" t="s">
        <v>453</v>
      </c>
      <c r="D327" s="5" t="str">
        <f t="shared" ref="D327:D332" si="68">F327&amp;"-"&amp;2</f>
        <v>65-2</v>
      </c>
      <c r="E327" t="s">
        <v>454</v>
      </c>
      <c r="F327">
        <v>65</v>
      </c>
      <c r="G327">
        <v>9342</v>
      </c>
      <c r="H327">
        <v>12429</v>
      </c>
      <c r="AC327">
        <f t="shared" si="33"/>
        <v>21771</v>
      </c>
      <c r="AD327">
        <f t="shared" si="34"/>
        <v>0</v>
      </c>
      <c r="AE327">
        <f t="shared" si="35"/>
        <v>0</v>
      </c>
      <c r="AF327">
        <f t="shared" si="36"/>
        <v>0</v>
      </c>
      <c r="AG327">
        <f t="shared" si="37"/>
        <v>0</v>
      </c>
      <c r="AH327">
        <f t="shared" si="38"/>
        <v>0</v>
      </c>
      <c r="AI327">
        <f t="shared" si="55"/>
        <v>0</v>
      </c>
      <c r="AJ327">
        <f t="shared" si="56"/>
        <v>0</v>
      </c>
      <c r="AM327">
        <f t="shared" ref="AM327:AM332" si="69">SUM(G327:Z327)</f>
        <v>21771</v>
      </c>
      <c r="AN327" t="s">
        <v>455</v>
      </c>
      <c r="AO327">
        <v>0</v>
      </c>
    </row>
    <row r="328" spans="1:41" x14ac:dyDescent="0.2">
      <c r="A328" s="10" t="s">
        <v>456</v>
      </c>
      <c r="B328" s="4" t="str">
        <f t="shared" si="59"/>
        <v>65-2-2</v>
      </c>
      <c r="C328" t="s">
        <v>453</v>
      </c>
      <c r="D328" s="5" t="str">
        <f t="shared" si="68"/>
        <v>65-2</v>
      </c>
      <c r="E328" t="s">
        <v>454</v>
      </c>
      <c r="F328">
        <v>65</v>
      </c>
      <c r="G328">
        <v>11565</v>
      </c>
      <c r="H328">
        <v>16963</v>
      </c>
      <c r="K328">
        <v>3552</v>
      </c>
      <c r="L328">
        <v>5585</v>
      </c>
      <c r="AC328">
        <f t="shared" si="33"/>
        <v>28528</v>
      </c>
      <c r="AD328">
        <f t="shared" si="34"/>
        <v>9137</v>
      </c>
      <c r="AE328">
        <f t="shared" si="35"/>
        <v>9137</v>
      </c>
      <c r="AF328">
        <f t="shared" si="36"/>
        <v>9137</v>
      </c>
      <c r="AG328">
        <f t="shared" si="37"/>
        <v>0.32028182837913627</v>
      </c>
      <c r="AH328">
        <f t="shared" si="38"/>
        <v>0.32028182837913627</v>
      </c>
      <c r="AI328">
        <f t="shared" si="55"/>
        <v>0.24258595513075801</v>
      </c>
      <c r="AJ328">
        <f t="shared" si="56"/>
        <v>0.24258595513075801</v>
      </c>
      <c r="AM328">
        <f t="shared" si="69"/>
        <v>37665</v>
      </c>
      <c r="AN328" t="s">
        <v>455</v>
      </c>
      <c r="AO328">
        <v>0</v>
      </c>
    </row>
    <row r="329" spans="1:41" x14ac:dyDescent="0.2">
      <c r="A329" s="10" t="s">
        <v>457</v>
      </c>
      <c r="B329" s="4" t="str">
        <f t="shared" si="59"/>
        <v>65-2-3</v>
      </c>
      <c r="C329" t="s">
        <v>453</v>
      </c>
      <c r="D329" s="5" t="str">
        <f t="shared" si="68"/>
        <v>65-2</v>
      </c>
      <c r="E329" t="s">
        <v>454</v>
      </c>
      <c r="F329">
        <v>65</v>
      </c>
      <c r="G329">
        <v>7000</v>
      </c>
      <c r="H329">
        <v>8902</v>
      </c>
      <c r="AC329">
        <f t="shared" si="33"/>
        <v>15902</v>
      </c>
      <c r="AD329">
        <f t="shared" si="34"/>
        <v>0</v>
      </c>
      <c r="AE329">
        <f t="shared" si="35"/>
        <v>0</v>
      </c>
      <c r="AF329">
        <f t="shared" si="36"/>
        <v>0</v>
      </c>
      <c r="AG329">
        <f t="shared" si="37"/>
        <v>0</v>
      </c>
      <c r="AH329">
        <f t="shared" si="38"/>
        <v>0</v>
      </c>
      <c r="AI329">
        <f t="shared" si="55"/>
        <v>0</v>
      </c>
      <c r="AJ329">
        <f t="shared" si="56"/>
        <v>0</v>
      </c>
      <c r="AM329">
        <f t="shared" si="69"/>
        <v>15902</v>
      </c>
      <c r="AN329" t="s">
        <v>455</v>
      </c>
      <c r="AO329" s="6">
        <v>1</v>
      </c>
    </row>
    <row r="330" spans="1:41" x14ac:dyDescent="0.2">
      <c r="A330" s="18" t="s">
        <v>458</v>
      </c>
      <c r="B330" s="4" t="str">
        <f t="shared" si="59"/>
        <v>65-2-4</v>
      </c>
      <c r="C330" t="s">
        <v>453</v>
      </c>
      <c r="D330" s="5" t="str">
        <f t="shared" si="68"/>
        <v>65-2</v>
      </c>
      <c r="E330" t="s">
        <v>454</v>
      </c>
      <c r="F330">
        <v>65</v>
      </c>
      <c r="G330">
        <v>7488</v>
      </c>
      <c r="H330">
        <v>9188</v>
      </c>
      <c r="K330">
        <v>2232</v>
      </c>
      <c r="L330">
        <v>3960</v>
      </c>
      <c r="AC330">
        <f t="shared" si="33"/>
        <v>16676</v>
      </c>
      <c r="AD330">
        <f t="shared" si="34"/>
        <v>6192</v>
      </c>
      <c r="AE330">
        <f t="shared" si="35"/>
        <v>6192</v>
      </c>
      <c r="AF330">
        <f t="shared" si="36"/>
        <v>6192</v>
      </c>
      <c r="AG330">
        <f t="shared" si="37"/>
        <v>0.37131206524346366</v>
      </c>
      <c r="AH330">
        <f t="shared" si="38"/>
        <v>0.37131206524346366</v>
      </c>
      <c r="AI330">
        <f t="shared" si="55"/>
        <v>0.2707713835927934</v>
      </c>
      <c r="AJ330">
        <f t="shared" si="56"/>
        <v>0.2707713835927934</v>
      </c>
      <c r="AM330">
        <f t="shared" si="69"/>
        <v>22868</v>
      </c>
      <c r="AN330" t="s">
        <v>455</v>
      </c>
      <c r="AO330">
        <v>0</v>
      </c>
    </row>
    <row r="331" spans="1:41" x14ac:dyDescent="0.2">
      <c r="A331" s="10" t="s">
        <v>459</v>
      </c>
      <c r="B331" s="4" t="str">
        <f t="shared" si="59"/>
        <v>65-2-5</v>
      </c>
      <c r="C331" t="s">
        <v>453</v>
      </c>
      <c r="D331" s="5" t="str">
        <f t="shared" si="68"/>
        <v>65-2</v>
      </c>
      <c r="E331" t="s">
        <v>454</v>
      </c>
      <c r="F331">
        <v>65</v>
      </c>
      <c r="G331">
        <v>2930</v>
      </c>
      <c r="H331">
        <v>4220</v>
      </c>
      <c r="K331">
        <v>670</v>
      </c>
      <c r="L331">
        <v>566</v>
      </c>
      <c r="AC331">
        <f t="shared" si="33"/>
        <v>7150</v>
      </c>
      <c r="AD331">
        <f t="shared" si="34"/>
        <v>1236</v>
      </c>
      <c r="AE331">
        <f t="shared" si="35"/>
        <v>1236</v>
      </c>
      <c r="AF331">
        <f t="shared" si="36"/>
        <v>1236</v>
      </c>
      <c r="AG331">
        <f t="shared" si="37"/>
        <v>0.17286713286713287</v>
      </c>
      <c r="AH331">
        <f t="shared" si="38"/>
        <v>0.17286713286713287</v>
      </c>
      <c r="AI331">
        <f t="shared" si="55"/>
        <v>0.14738850465060815</v>
      </c>
      <c r="AJ331">
        <f t="shared" si="56"/>
        <v>0.14738850465060815</v>
      </c>
      <c r="AM331">
        <f t="shared" si="69"/>
        <v>8386</v>
      </c>
      <c r="AN331" t="s">
        <v>455</v>
      </c>
      <c r="AO331">
        <v>0</v>
      </c>
    </row>
    <row r="332" spans="1:41" x14ac:dyDescent="0.2">
      <c r="A332" s="10" t="s">
        <v>460</v>
      </c>
      <c r="B332" s="4" t="str">
        <f t="shared" si="59"/>
        <v>65-2-6</v>
      </c>
      <c r="C332" t="s">
        <v>453</v>
      </c>
      <c r="D332" s="5" t="str">
        <f t="shared" si="68"/>
        <v>65-2</v>
      </c>
      <c r="E332" t="s">
        <v>454</v>
      </c>
      <c r="F332">
        <v>65</v>
      </c>
      <c r="G332">
        <v>6328</v>
      </c>
      <c r="H332">
        <v>8219</v>
      </c>
      <c r="K332">
        <v>996</v>
      </c>
      <c r="L332">
        <v>1037</v>
      </c>
      <c r="AC332">
        <f t="shared" si="33"/>
        <v>14547</v>
      </c>
      <c r="AD332">
        <f t="shared" si="34"/>
        <v>2033</v>
      </c>
      <c r="AE332">
        <f t="shared" si="35"/>
        <v>2033</v>
      </c>
      <c r="AF332">
        <f t="shared" si="36"/>
        <v>2033</v>
      </c>
      <c r="AG332">
        <f t="shared" si="37"/>
        <v>0.13975390114800301</v>
      </c>
      <c r="AH332">
        <f t="shared" si="38"/>
        <v>0.13975390114800301</v>
      </c>
      <c r="AI332">
        <f t="shared" si="55"/>
        <v>0.12261761158021713</v>
      </c>
      <c r="AJ332">
        <f t="shared" si="56"/>
        <v>0.12261761158021713</v>
      </c>
      <c r="AM332">
        <f t="shared" si="69"/>
        <v>16580</v>
      </c>
      <c r="AN332" t="s">
        <v>455</v>
      </c>
      <c r="AO332">
        <v>0</v>
      </c>
    </row>
    <row r="333" spans="1:41" x14ac:dyDescent="0.2">
      <c r="A333" s="10" t="s">
        <v>461</v>
      </c>
      <c r="B333" s="4" t="str">
        <f t="shared" si="59"/>
        <v>65-1-1</v>
      </c>
      <c r="C333" t="s">
        <v>462</v>
      </c>
      <c r="D333" s="5" t="str">
        <f t="shared" ref="D333:D340" si="70">F333&amp;"-"&amp;1</f>
        <v>65-1</v>
      </c>
      <c r="E333" t="s">
        <v>454</v>
      </c>
      <c r="F333">
        <v>65</v>
      </c>
      <c r="G333">
        <v>2963</v>
      </c>
      <c r="H333">
        <v>3266</v>
      </c>
      <c r="K333">
        <v>1661</v>
      </c>
      <c r="L333">
        <v>2379</v>
      </c>
      <c r="AC333">
        <f t="shared" si="33"/>
        <v>6229</v>
      </c>
      <c r="AD333">
        <f t="shared" si="34"/>
        <v>4040</v>
      </c>
      <c r="AE333">
        <f t="shared" si="35"/>
        <v>4040</v>
      </c>
      <c r="AF333">
        <f t="shared" si="36"/>
        <v>4040</v>
      </c>
      <c r="AG333">
        <f t="shared" si="37"/>
        <v>0.64857922620003206</v>
      </c>
      <c r="AH333">
        <f t="shared" si="38"/>
        <v>0.64857922620003206</v>
      </c>
      <c r="AI333">
        <f t="shared" si="55"/>
        <v>0.39341708053364494</v>
      </c>
      <c r="AJ333">
        <f t="shared" si="56"/>
        <v>0.39341708053364494</v>
      </c>
      <c r="AK333">
        <v>4624</v>
      </c>
      <c r="AL333">
        <v>5645</v>
      </c>
      <c r="AM333">
        <v>10269</v>
      </c>
      <c r="AN333" t="s">
        <v>43</v>
      </c>
      <c r="AO333">
        <v>0</v>
      </c>
    </row>
    <row r="334" spans="1:41" x14ac:dyDescent="0.2">
      <c r="A334" s="10" t="s">
        <v>463</v>
      </c>
      <c r="B334" s="4" t="str">
        <f t="shared" si="59"/>
        <v>65-1-2</v>
      </c>
      <c r="C334" t="s">
        <v>462</v>
      </c>
      <c r="D334" s="5" t="str">
        <f t="shared" si="70"/>
        <v>65-1</v>
      </c>
      <c r="E334" t="s">
        <v>454</v>
      </c>
      <c r="F334">
        <v>65</v>
      </c>
      <c r="G334">
        <v>2188</v>
      </c>
      <c r="H334">
        <v>2664</v>
      </c>
      <c r="K334">
        <v>1715</v>
      </c>
      <c r="L334">
        <v>2078</v>
      </c>
      <c r="AC334">
        <f t="shared" si="33"/>
        <v>4852</v>
      </c>
      <c r="AD334">
        <f t="shared" si="34"/>
        <v>3793</v>
      </c>
      <c r="AE334">
        <f t="shared" si="35"/>
        <v>3793</v>
      </c>
      <c r="AF334">
        <f t="shared" si="36"/>
        <v>3793</v>
      </c>
      <c r="AG334">
        <f t="shared" si="37"/>
        <v>0.78173948887056888</v>
      </c>
      <c r="AH334">
        <f t="shared" si="38"/>
        <v>0.78173948887056888</v>
      </c>
      <c r="AI334">
        <f t="shared" si="55"/>
        <v>0.43875072296124928</v>
      </c>
      <c r="AJ334">
        <f t="shared" si="56"/>
        <v>0.43875072296124928</v>
      </c>
      <c r="AK334">
        <v>3903</v>
      </c>
      <c r="AL334">
        <v>4742</v>
      </c>
      <c r="AM334">
        <v>8645</v>
      </c>
      <c r="AN334" t="s">
        <v>43</v>
      </c>
      <c r="AO334">
        <v>0</v>
      </c>
    </row>
    <row r="335" spans="1:41" x14ac:dyDescent="0.2">
      <c r="A335" s="10" t="s">
        <v>464</v>
      </c>
      <c r="B335" s="4" t="str">
        <f t="shared" si="59"/>
        <v>65-1-3</v>
      </c>
      <c r="C335" t="s">
        <v>462</v>
      </c>
      <c r="D335" s="5" t="str">
        <f t="shared" si="70"/>
        <v>65-1</v>
      </c>
      <c r="E335" t="s">
        <v>454</v>
      </c>
      <c r="F335">
        <v>65</v>
      </c>
      <c r="G335">
        <v>3836</v>
      </c>
      <c r="H335">
        <v>3899</v>
      </c>
      <c r="K335">
        <v>1418</v>
      </c>
      <c r="L335">
        <v>2293</v>
      </c>
      <c r="AC335">
        <f t="shared" si="33"/>
        <v>7735</v>
      </c>
      <c r="AD335">
        <f t="shared" si="34"/>
        <v>3711</v>
      </c>
      <c r="AE335">
        <f t="shared" si="35"/>
        <v>3711</v>
      </c>
      <c r="AF335">
        <f t="shared" si="36"/>
        <v>3711</v>
      </c>
      <c r="AG335">
        <f t="shared" si="37"/>
        <v>0.47976729153199743</v>
      </c>
      <c r="AH335">
        <f t="shared" si="38"/>
        <v>0.47976729153199743</v>
      </c>
      <c r="AI335">
        <f t="shared" si="55"/>
        <v>0.3242180674471431</v>
      </c>
      <c r="AJ335">
        <f t="shared" si="56"/>
        <v>0.3242180674471431</v>
      </c>
      <c r="AK335">
        <v>5254</v>
      </c>
      <c r="AL335">
        <v>6192</v>
      </c>
      <c r="AM335">
        <v>11446</v>
      </c>
      <c r="AN335" t="s">
        <v>43</v>
      </c>
      <c r="AO335">
        <v>0</v>
      </c>
    </row>
    <row r="336" spans="1:41" x14ac:dyDescent="0.2">
      <c r="A336" s="10" t="s">
        <v>465</v>
      </c>
      <c r="B336" s="4" t="str">
        <f t="shared" si="59"/>
        <v>65-1-4</v>
      </c>
      <c r="C336" t="s">
        <v>462</v>
      </c>
      <c r="D336" s="5" t="str">
        <f t="shared" si="70"/>
        <v>65-1</v>
      </c>
      <c r="E336" t="s">
        <v>454</v>
      </c>
      <c r="F336">
        <v>65</v>
      </c>
      <c r="G336">
        <v>1864</v>
      </c>
      <c r="H336">
        <v>2564</v>
      </c>
      <c r="K336">
        <v>2023</v>
      </c>
      <c r="L336">
        <v>2779</v>
      </c>
      <c r="AC336">
        <f t="shared" si="33"/>
        <v>4428</v>
      </c>
      <c r="AD336">
        <f t="shared" si="34"/>
        <v>4802</v>
      </c>
      <c r="AE336">
        <f t="shared" si="35"/>
        <v>4802</v>
      </c>
      <c r="AF336">
        <f t="shared" si="36"/>
        <v>4802</v>
      </c>
      <c r="AG336">
        <f t="shared" si="37"/>
        <v>1.0844625112917796</v>
      </c>
      <c r="AH336">
        <f t="shared" si="38"/>
        <v>1.0844625112917796</v>
      </c>
      <c r="AI336">
        <f t="shared" si="55"/>
        <v>0.52026002166847241</v>
      </c>
      <c r="AJ336">
        <f t="shared" si="56"/>
        <v>0.52026002166847241</v>
      </c>
      <c r="AK336">
        <v>3887</v>
      </c>
      <c r="AL336">
        <v>5343</v>
      </c>
      <c r="AM336">
        <v>9230</v>
      </c>
      <c r="AN336" t="s">
        <v>43</v>
      </c>
      <c r="AO336">
        <v>0</v>
      </c>
    </row>
    <row r="337" spans="1:41" x14ac:dyDescent="0.2">
      <c r="A337" s="10" t="s">
        <v>466</v>
      </c>
      <c r="B337" s="4" t="str">
        <f t="shared" si="59"/>
        <v>65-1-5</v>
      </c>
      <c r="C337" t="s">
        <v>462</v>
      </c>
      <c r="D337" s="5" t="str">
        <f t="shared" si="70"/>
        <v>65-1</v>
      </c>
      <c r="E337" t="s">
        <v>454</v>
      </c>
      <c r="F337">
        <v>65</v>
      </c>
      <c r="G337">
        <v>2618</v>
      </c>
      <c r="H337">
        <v>3575</v>
      </c>
      <c r="K337">
        <v>1748</v>
      </c>
      <c r="L337">
        <v>2618</v>
      </c>
      <c r="AC337">
        <f t="shared" si="33"/>
        <v>6193</v>
      </c>
      <c r="AD337">
        <f t="shared" si="34"/>
        <v>4366</v>
      </c>
      <c r="AE337">
        <f t="shared" si="35"/>
        <v>4366</v>
      </c>
      <c r="AF337">
        <f t="shared" si="36"/>
        <v>4366</v>
      </c>
      <c r="AG337">
        <f t="shared" si="37"/>
        <v>0.70498950427902474</v>
      </c>
      <c r="AH337">
        <f t="shared" si="38"/>
        <v>0.70498950427902474</v>
      </c>
      <c r="AI337">
        <f t="shared" si="55"/>
        <v>0.41348612558007386</v>
      </c>
      <c r="AJ337">
        <f t="shared" si="56"/>
        <v>0.41348612558007386</v>
      </c>
      <c r="AK337">
        <v>4366</v>
      </c>
      <c r="AL337">
        <v>6193</v>
      </c>
      <c r="AM337">
        <v>10559</v>
      </c>
      <c r="AN337" t="s">
        <v>43</v>
      </c>
      <c r="AO337">
        <v>0</v>
      </c>
    </row>
    <row r="338" spans="1:41" x14ac:dyDescent="0.2">
      <c r="A338" s="10" t="s">
        <v>467</v>
      </c>
      <c r="B338" s="4" t="str">
        <f t="shared" si="59"/>
        <v>65-1-6</v>
      </c>
      <c r="C338" t="s">
        <v>462</v>
      </c>
      <c r="D338" s="5" t="str">
        <f t="shared" si="70"/>
        <v>65-1</v>
      </c>
      <c r="E338" t="s">
        <v>454</v>
      </c>
      <c r="F338">
        <v>65</v>
      </c>
      <c r="G338">
        <v>1576</v>
      </c>
      <c r="H338">
        <v>1972</v>
      </c>
      <c r="K338">
        <v>2152</v>
      </c>
      <c r="L338">
        <v>2082</v>
      </c>
      <c r="AC338">
        <f t="shared" si="33"/>
        <v>3548</v>
      </c>
      <c r="AD338">
        <f t="shared" si="34"/>
        <v>4234</v>
      </c>
      <c r="AE338">
        <f t="shared" si="35"/>
        <v>4234</v>
      </c>
      <c r="AF338">
        <f t="shared" si="36"/>
        <v>4234</v>
      </c>
      <c r="AG338">
        <f t="shared" si="37"/>
        <v>1.193348365276212</v>
      </c>
      <c r="AH338">
        <f t="shared" si="38"/>
        <v>1.193348365276212</v>
      </c>
      <c r="AI338">
        <f t="shared" si="55"/>
        <v>0.54407607298894889</v>
      </c>
      <c r="AJ338">
        <f t="shared" si="56"/>
        <v>0.54407607298894889</v>
      </c>
      <c r="AK338">
        <v>3728</v>
      </c>
      <c r="AL338">
        <v>4054</v>
      </c>
      <c r="AM338">
        <v>7782</v>
      </c>
      <c r="AN338" t="s">
        <v>43</v>
      </c>
      <c r="AO338">
        <v>0</v>
      </c>
    </row>
    <row r="339" spans="1:41" x14ac:dyDescent="0.2">
      <c r="A339" s="10" t="s">
        <v>468</v>
      </c>
      <c r="B339" s="4" t="str">
        <f t="shared" si="59"/>
        <v>65-1-7</v>
      </c>
      <c r="C339" t="s">
        <v>462</v>
      </c>
      <c r="D339" s="5" t="str">
        <f t="shared" si="70"/>
        <v>65-1</v>
      </c>
      <c r="E339" t="s">
        <v>454</v>
      </c>
      <c r="F339">
        <v>65</v>
      </c>
      <c r="G339">
        <v>1805</v>
      </c>
      <c r="H339">
        <v>1696</v>
      </c>
      <c r="K339">
        <v>619</v>
      </c>
      <c r="L339">
        <v>764</v>
      </c>
      <c r="AC339">
        <f t="shared" si="33"/>
        <v>3501</v>
      </c>
      <c r="AD339">
        <f t="shared" si="34"/>
        <v>1383</v>
      </c>
      <c r="AE339">
        <f t="shared" si="35"/>
        <v>1383</v>
      </c>
      <c r="AF339">
        <f t="shared" si="36"/>
        <v>1383</v>
      </c>
      <c r="AG339">
        <f t="shared" si="37"/>
        <v>0.39502999143101969</v>
      </c>
      <c r="AH339">
        <f t="shared" si="38"/>
        <v>0.39502999143101969</v>
      </c>
      <c r="AI339">
        <f t="shared" si="55"/>
        <v>0.28316953316953319</v>
      </c>
      <c r="AJ339">
        <f t="shared" si="56"/>
        <v>0.28316953316953319</v>
      </c>
      <c r="AK339">
        <v>2424</v>
      </c>
      <c r="AL339">
        <v>2460</v>
      </c>
      <c r="AM339">
        <v>4884</v>
      </c>
      <c r="AN339" t="s">
        <v>43</v>
      </c>
      <c r="AO339">
        <v>0</v>
      </c>
    </row>
    <row r="340" spans="1:41" x14ac:dyDescent="0.2">
      <c r="A340" t="s">
        <v>469</v>
      </c>
      <c r="B340" s="4" t="str">
        <f t="shared" si="59"/>
        <v>65-1-8</v>
      </c>
      <c r="C340" t="s">
        <v>462</v>
      </c>
      <c r="D340" s="5" t="str">
        <f t="shared" si="70"/>
        <v>65-1</v>
      </c>
      <c r="E340" t="s">
        <v>454</v>
      </c>
      <c r="F340">
        <v>65</v>
      </c>
      <c r="G340">
        <v>8324</v>
      </c>
      <c r="H340">
        <v>9772</v>
      </c>
      <c r="K340">
        <v>14052</v>
      </c>
      <c r="L340">
        <v>19001</v>
      </c>
      <c r="AC340">
        <f t="shared" si="33"/>
        <v>18096</v>
      </c>
      <c r="AD340">
        <f t="shared" si="34"/>
        <v>33053</v>
      </c>
      <c r="AE340">
        <f t="shared" si="35"/>
        <v>33053</v>
      </c>
      <c r="AF340">
        <f t="shared" si="36"/>
        <v>33053</v>
      </c>
      <c r="AG340">
        <f t="shared" si="37"/>
        <v>1.8265362511052166</v>
      </c>
      <c r="AH340">
        <f t="shared" si="38"/>
        <v>1.8265362511052166</v>
      </c>
      <c r="AI340">
        <f t="shared" si="55"/>
        <v>0.64621009208391167</v>
      </c>
      <c r="AJ340">
        <f t="shared" si="56"/>
        <v>0.64621009208391167</v>
      </c>
      <c r="AK340">
        <v>22376</v>
      </c>
      <c r="AL340">
        <v>28743</v>
      </c>
      <c r="AM340">
        <v>51149</v>
      </c>
      <c r="AN340" t="s">
        <v>43</v>
      </c>
      <c r="AO340" s="6">
        <v>1</v>
      </c>
    </row>
  </sheetData>
  <conditionalFormatting sqref="B1:B340">
    <cfRule type="notContainsBlanks" dxfId="0" priority="1">
      <formula>LEN(TRIM(B1))&gt;0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Amasyali</dc:creator>
  <cp:lastModifiedBy>Emre Amasyali</cp:lastModifiedBy>
  <dcterms:created xsi:type="dcterms:W3CDTF">2026-03-11T15:14:09Z</dcterms:created>
  <dcterms:modified xsi:type="dcterms:W3CDTF">2026-03-11T15:15:52Z</dcterms:modified>
</cp:coreProperties>
</file>